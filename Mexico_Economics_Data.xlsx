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ntry Overview" sheetId="1" state="visible" r:id="rId3"/>
    <sheet name="GDP - Expenditure Approach" sheetId="2" state="visible" r:id="rId4"/>
    <sheet name="GDP - Trade (Net Exports)" sheetId="3" state="visible" r:id="rId5"/>
    <sheet name="Population &amp; Labor Force" sheetId="4" state="visible" r:id="rId6"/>
    <sheet name="Labor Force Rates" sheetId="5" state="visible" r:id="rId7"/>
    <sheet name="Inflation &amp; CPI" sheetId="6" state="visible" r:id="rId8"/>
    <sheet name="Fiscal Policy" sheetId="7" state="visible" r:id="rId9"/>
    <sheet name="Monetary Policy" sheetId="8" state="visible" r:id="rId10"/>
    <sheet name="Technology &amp; AI" sheetId="9" state="visible" r:id="rId11"/>
    <sheet name="Reforms" sheetId="10" state="visible" r:id="rId12"/>
    <sheet name="Sourc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<sst xmlns="http://schemas.openxmlformats.org/spreadsheetml/2006/main" count="267" uniqueCount="180">
  <si>
    <t xml:space="preserve">MEXICO — Country &amp; Economic Overview</t>
  </si>
  <si>
    <t xml:space="preserve">Macroeconomic Performance, 2019–2025 | Source: World Bank, INEGI, Banxico (docx intro; PPT slide 2)</t>
  </si>
  <si>
    <t xml:space="preserve">Indicator</t>
  </si>
  <si>
    <t xml:space="preserve">Value</t>
  </si>
  <si>
    <t xml:space="preserve">Year</t>
  </si>
  <si>
    <t xml:space="preserve">Notes</t>
  </si>
  <si>
    <t xml:space="preserve">Nominal GDP</t>
  </si>
  <si>
    <t xml:space="preserve">US$1.83T</t>
  </si>
  <si>
    <t xml:space="preserve">2025</t>
  </si>
  <si>
    <t xml:space="preserve">PPT Slide 2</t>
  </si>
  <si>
    <t xml:space="preserve">GDP per Capita</t>
  </si>
  <si>
    <t xml:space="preserve">US$14,364</t>
  </si>
  <si>
    <t xml:space="preserve">Population</t>
  </si>
  <si>
    <t xml:space="preserve">132M (PPT) / 131.0M (Notebook)</t>
  </si>
  <si>
    <t xml:space="preserve">Two sources; see Population sheet for annual series</t>
  </si>
  <si>
    <t xml:space="preserve">Workforce in Informal Sector</t>
  </si>
  <si>
    <t xml:space="preserve">~57%</t>
  </si>
  <si>
    <t xml:space="preserve">Global Economic Rank</t>
  </si>
  <si>
    <t xml:space="preserve">Top 15 economies worldwide</t>
  </si>
  <si>
    <t xml:space="preserve">—</t>
  </si>
  <si>
    <t xml:space="preserve">Word doc intro</t>
  </si>
  <si>
    <t xml:space="preserve">Latin America Rank</t>
  </si>
  <si>
    <t xml:space="preserve">2nd-largest economy</t>
  </si>
  <si>
    <t xml:space="preserve">Avg. Annual Growth, 1980–2022</t>
  </si>
  <si>
    <t xml:space="preserve">~2.0%</t>
  </si>
  <si>
    <t xml:space="preserve">1980–2022</t>
  </si>
  <si>
    <t xml:space="preserve">Multidimensional Poverty Rate</t>
  </si>
  <si>
    <t xml:space="preserve">43.2% → 36.3% (5.4M lifted out of poverty)</t>
  </si>
  <si>
    <t xml:space="preserve">2016–2022</t>
  </si>
  <si>
    <t xml:space="preserve">Top Export Category</t>
  </si>
  <si>
    <t xml:space="preserve">7th-largest electronics exporter globally</t>
  </si>
  <si>
    <t xml:space="preserve">Word doc, Sec.1</t>
  </si>
  <si>
    <t xml:space="preserve">Top Export Category 2</t>
  </si>
  <si>
    <t xml:space="preserve">3rd-largest automobile exporter globally</t>
  </si>
  <si>
    <t xml:space="preserve">Trade as % of GDP</t>
  </si>
  <si>
    <t xml:space="preserve">~80%</t>
  </si>
  <si>
    <t xml:space="preserve">Key Trade Agreement</t>
  </si>
  <si>
    <t xml:space="preserve">USMCA (US-Mexico-Canada Agreement)</t>
  </si>
  <si>
    <t xml:space="preserve">Sources: World Bank (Oct 2025); INEGI; Banxico; Mexico_Economics.docx introduction; Presentation slide 2.</t>
  </si>
  <si>
    <t xml:space="preserve">GDP by Expenditure Approach — GDP = C + I + G + (X − M)</t>
  </si>
  <si>
    <t xml:space="preserve">Source: UN Data (data.un.org), retrieved March 2026 | Values in MXN millions | Word doc, Section 1</t>
  </si>
  <si>
    <t xml:space="preserve">Headline GDP Growth</t>
  </si>
  <si>
    <t xml:space="preserve">Nominal GDP % Chg</t>
  </si>
  <si>
    <t xml:space="preserve">Real GDP % Chg</t>
  </si>
  <si>
    <t xml:space="preserve">Covid-19 caused nominal GDP to fall over 4.12% and real GDP by 8.4% in 2020.</t>
  </si>
  <si>
    <t xml:space="preserve">1. Consumption — Household Consumption Expenditure</t>
  </si>
  <si>
    <t xml:space="preserve">MXN millions</t>
  </si>
  <si>
    <t xml:space="preserve">% Change (formula)</t>
  </si>
  <si>
    <t xml:space="preserve">n/a</t>
  </si>
  <si>
    <t xml:space="preserve">2. Investment — Gross Capital Formation</t>
  </si>
  <si>
    <t xml:space="preserve">3. Government — General Govt. Final Consumption Expenditure</t>
  </si>
  <si>
    <t xml:space="preserve">Mexico is the 7th-largest exporter of electronics and 3rd-largest exporter of automobiles globally; trade ≈80% of GDP (PANGEA; Word doc).</t>
  </si>
  <si>
    <t xml:space="preserve">Net Exports = Exports of Goods &amp; Services − Imports of Goods &amp; Services</t>
  </si>
  <si>
    <t xml:space="preserve">Source: UN Data, March 2026 | Values in MXN millions | Word doc, Section 1</t>
  </si>
  <si>
    <t xml:space="preserve">Exports of Goods and Services</t>
  </si>
  <si>
    <t xml:space="preserve">Imports of Goods and Services</t>
  </si>
  <si>
    <t xml:space="preserve">Net Exports (X − M)</t>
  </si>
  <si>
    <t xml:space="preserve">MXN millions (Exports − Imports, formula)</t>
  </si>
  <si>
    <t xml:space="preserve">Net exports turned negative from 2021 onward as import growth outpaced exports; USMCA, EU and Latin American FTAs are Mexico's main trade channels.</t>
  </si>
  <si>
    <t xml:space="preserve">Population &amp; Labor Force, 2019–2025</t>
  </si>
  <si>
    <t xml:space="preserve">Source: ECONOMICS_GRAPHS_Sparsh.ipynb — Category 1 charts (Population, Employment)</t>
  </si>
  <si>
    <t xml:space="preserve">Total Population</t>
  </si>
  <si>
    <t xml:space="preserve">People (count)</t>
  </si>
  <si>
    <t xml:space="preserve">Adult Population</t>
  </si>
  <si>
    <t xml:space="preserve">Minor Population</t>
  </si>
  <si>
    <t xml:space="preserve">Employed Population</t>
  </si>
  <si>
    <t xml:space="preserve">Unemployed Population</t>
  </si>
  <si>
    <t xml:space="preserve">Self-Employed Population</t>
  </si>
  <si>
    <t xml:space="preserve">Note: PPT slide 2 cites ~132M population (2025) and ~57% informal workforce; this sheet's totals are the notebook's INEGI-derived series (131.0M in 2025).</t>
  </si>
  <si>
    <t xml:space="preserve">Labor Force Participation &amp; Unemployment Rates, 2019–2025</t>
  </si>
  <si>
    <t xml:space="preserve">Source: ECONOMICS_GRAPHS_Sparsh.ipynb — Category 2 charts</t>
  </si>
  <si>
    <t xml:space="preserve">Adult Population Rate (% of total pop.)</t>
  </si>
  <si>
    <t xml:space="preserve">Rate (%)</t>
  </si>
  <si>
    <t xml:space="preserve">Labor Force Participation Rate (LFPR)</t>
  </si>
  <si>
    <t xml:space="preserve">Unemployment Rate (Notebook, INEGI)</t>
  </si>
  <si>
    <t xml:space="preserve">Unemployment Rate (PPT Slide 6, INEGI ENOE)</t>
  </si>
  <si>
    <t xml:space="preserve">Mexico's low headline unemployment partly reflects informality (~57% of workers) — no national unemployment insurance pushes displaced workers into informal work. (PPT Slide 6)</t>
  </si>
  <si>
    <t xml:space="preserve">Inflation &amp; Consumer Price Index, 2019–2025</t>
  </si>
  <si>
    <t xml:space="preserve">Sources: PPT Slide 8 (Banxico/INEGI headline inflation); Notebook Category 3 (CPI inflation &amp; YoY, CPI baseline)</t>
  </si>
  <si>
    <t xml:space="preserve">Headline Annual Inflation (PPT Slide 8)</t>
  </si>
  <si>
    <t xml:space="preserve">Annual Inflation (%)</t>
  </si>
  <si>
    <t xml:space="preserve">2022 peak 8.7% mid-year; Banxico target band 3% ± 1pp. Driven by supply-chain bottlenecks, Ukraine war food/energy shock, strong post-pandemic demand.</t>
  </si>
  <si>
    <t xml:space="preserve">CPI Inflation Rate &amp; YoY Baseline Change (Notebook)</t>
  </si>
  <si>
    <t xml:space="preserve">CPI Inflation Rate (%)</t>
  </si>
  <si>
    <t xml:space="preserve">YoY p.p. Change (formula)</t>
  </si>
  <si>
    <t xml:space="preserve">n/a (Base)</t>
  </si>
  <si>
    <t xml:space="preserve">CPI Baseline Trajectory (Notebook)</t>
  </si>
  <si>
    <t xml:space="preserve">CPI Value (%)</t>
  </si>
  <si>
    <t xml:space="preserve">Banxico raised policy rate 4.0% → 11.25% (2021-23); 2022 PACIC pact with retailers held down essential-goods prices. (PPT Slide 9)</t>
  </si>
  <si>
    <t xml:space="preserve">Fiscal Policy: Deficit as % of GDP</t>
  </si>
  <si>
    <t xml:space="preserve">Source: IMF, Ministry of Finance (SHCP) | PPT Slide 10</t>
  </si>
  <si>
    <t xml:space="preserve">Period</t>
  </si>
  <si>
    <t xml:space="preserve">Fiscal Deficit (% of GDP)</t>
  </si>
  <si>
    <t xml:space="preserve">2018 (AMLO start)</t>
  </si>
  <si>
    <t xml:space="preserve">2024 (36-yr high)</t>
  </si>
  <si>
    <t xml:space="preserve">2025 (target)</t>
  </si>
  <si>
    <t xml:space="preserve">AMLO era (2018-24): deficit widened funding Maya Train, Dos Bocas refinery, expanded pensions; debt rose toward ~58% of GDP. Sheinbaum's 2025 budget: most aggressive tightening since the 1990s (real spending cut ~1.9%). This swing tracks the presidential transition, not any change at Banxico — fiscal policy is set by the executive/Congress.</t>
  </si>
  <si>
    <t xml:space="preserve">Monetary Policy: Banxico Policy Rate</t>
  </si>
  <si>
    <t xml:space="preserve">Source: Banxico | PPT Slide 11</t>
  </si>
  <si>
    <t xml:space="preserve">Banxico Policy Rate (%)</t>
  </si>
  <si>
    <t xml:space="preserve">Banxico hiked ~4.0% (mid-2021) to a record 11.25% (Mar 2023), then eased into 2024-25. Governor changed Jan-2022 (Díaz de León → Rodríguez Ceja) but the tightening cycle continued unchanged — monetary policy was arguably a more consistent stabilizer than fiscal policy.</t>
  </si>
  <si>
    <t xml:space="preserve">Economic Health Scorecard (2025)</t>
  </si>
  <si>
    <t xml:space="preserve">Type</t>
  </si>
  <si>
    <t xml:space="preserve">Factor</t>
  </si>
  <si>
    <t xml:space="preserve">Strength</t>
  </si>
  <si>
    <t xml:space="preserve">Near-record-low unemployment</t>
  </si>
  <si>
    <t xml:space="preserve">Easing inflation toward target</t>
  </si>
  <si>
    <t xml:space="preserve">Stable peso</t>
  </si>
  <si>
    <t xml:space="preserve">Investment-grade credit rating</t>
  </si>
  <si>
    <t xml:space="preserve">Vulnerability</t>
  </si>
  <si>
    <t xml:space="preserve">High fiscal deficit &amp; rising public debt</t>
  </si>
  <si>
    <t xml:space="preserve">Growth near bottom of G20/OECD (1.0–1.5%)</t>
  </si>
  <si>
    <t xml:space="preserve">Heavy exposure to U.S. tariff risk</t>
  </si>
  <si>
    <t xml:space="preserve">Fragile Pemex finances</t>
  </si>
  <si>
    <t xml:space="preserve">Deep labor-market informality (~57%)</t>
  </si>
  <si>
    <t xml:space="preserve">Technology &amp; AI: Reinforcing the Nearshoring Boom</t>
  </si>
  <si>
    <t xml:space="preserve">Source: INEGI Economic Census 2024, Endeavor, IDC, Mexico Business News | PPT Slide 13</t>
  </si>
  <si>
    <t xml:space="preserve">Metric</t>
  </si>
  <si>
    <t xml:space="preserve">Mexico AI Market Size (2025)</t>
  </si>
  <si>
    <t xml:space="preserve">US$3.7B</t>
  </si>
  <si>
    <t xml:space="preserve">Up from US$2.8B in 2024 (+32%)</t>
  </si>
  <si>
    <t xml:space="preserve">Mexican Firms Already Using AI</t>
  </si>
  <si>
    <t xml:space="preserve">~40%</t>
  </si>
  <si>
    <t xml:space="preserve">INEGI, 2024</t>
  </si>
  <si>
    <t xml:space="preserve">Record FDI (2024)</t>
  </si>
  <si>
    <t xml:space="preserve">US$45.3B</t>
  </si>
  <si>
    <t xml:space="preserve">+48% YoY, nearshoring-driven</t>
  </si>
  <si>
    <t xml:space="preserve">Tech / Professional-Services Sector Growth (2025)</t>
  </si>
  <si>
    <t xml:space="preserve">+12.6%</t>
  </si>
  <si>
    <t xml:space="preserve">YoY</t>
  </si>
  <si>
    <t xml:space="preserve">AI Adoption by Sector</t>
  </si>
  <si>
    <t xml:space="preserve">Sector</t>
  </si>
  <si>
    <t xml:space="preserve">AI Use Case</t>
  </si>
  <si>
    <t xml:space="preserve">Manufacturing</t>
  </si>
  <si>
    <t xml:space="preserve">AI-powered robots (GM plants, Coahuila &amp; Guanajuato) improve welding, assembly precision, cost efficiency.</t>
  </si>
  <si>
    <t xml:space="preserve">Services</t>
  </si>
  <si>
    <t xml:space="preserve">Fast-growing professional/tech-services exports — cloud migration, data analytics, AI-strategy work for North American clients.</t>
  </si>
  <si>
    <t xml:space="preserve">Finance</t>
  </si>
  <si>
    <t xml:space="preserve">Banks &amp; fintechs use AI for credit scoring, fraud detection, customer service — aiding financial inclusion for the unbanked.</t>
  </si>
  <si>
    <t xml:space="preserve">Reforms: Well-Being, Environment &amp; Work–Life Balance</t>
  </si>
  <si>
    <t xml:space="preserve">Source: SHCP budget documents, Federal Labor Law | PPT Slide 12</t>
  </si>
  <si>
    <t xml:space="preserve">Area</t>
  </si>
  <si>
    <t xml:space="preserve">Detail</t>
  </si>
  <si>
    <t xml:space="preserve">Low-income Support</t>
  </si>
  <si>
    <t xml:space="preserve">Universal pensions for 65+ and people with disabilities, expanded 2024-25 to women aged 60-64; conditional scholarships.</t>
  </si>
  <si>
    <t xml:space="preserve">Labor-market Reform</t>
  </si>
  <si>
    <t xml:space="preserve">2021 outsourcing law formalizing subcontracted work; minimum wage nearly doubled in real terms, 2018-24.</t>
  </si>
  <si>
    <t xml:space="preserve">Green Economy</t>
  </si>
  <si>
    <t xml:space="preserve">Renewable energy tied to nearshoring's power demand — though the 2025 budget cut environmental spending ~39%.</t>
  </si>
  <si>
    <t xml:space="preserve">Work–Life Balance</t>
  </si>
  <si>
    <t xml:space="preserve">2023 reform raised minimum paid vacation from 6 to 12 days in year one; debate continues on the 48-hour work week.</t>
  </si>
  <si>
    <t xml:space="preserve">References</t>
  </si>
  <si>
    <t xml:space="preserve">Source</t>
  </si>
  <si>
    <t xml:space="preserve">Link / Publisher</t>
  </si>
  <si>
    <t xml:space="preserve">Date</t>
  </si>
  <si>
    <t xml:space="preserve">World Bank — Mexico Country Overview</t>
  </si>
  <si>
    <t xml:space="preserve">https://www.worldbank.org/ext/en/country/mexico#tab-economy</t>
  </si>
  <si>
    <t xml:space="preserve">October 2025</t>
  </si>
  <si>
    <t xml:space="preserve">UN Data — National Accounts (Mexico, NCU)</t>
  </si>
  <si>
    <t xml:space="preserve">https://data.un.org/Data.aspx?q=mexico&amp;d=SNAAMA&amp;f=grID%3A101%3BcurrID%3ANCU%3BpcFlag%3A0%3BcrID%3A484</t>
  </si>
  <si>
    <t xml:space="preserve">March 2026</t>
  </si>
  <si>
    <t xml:space="preserve">PANGEA — Mexico's Top Trading Partners</t>
  </si>
  <si>
    <t xml:space="preserve">https://pangea-network.com/mexicos-top-trading-partners-export-and-import/</t>
  </si>
  <si>
    <t xml:space="preserve">DF Alliance — Mexico Main Imports &amp; Exports</t>
  </si>
  <si>
    <t xml:space="preserve">https://www.df-alliance.com/blog/mexico-main-imports-and-exports-key-products-and-trends-2024-2025-</t>
  </si>
  <si>
    <t xml:space="preserve">September 2025</t>
  </si>
  <si>
    <t xml:space="preserve">INEGI (ENOE) — Employment &amp; Population Series</t>
  </si>
  <si>
    <t xml:space="preserve">Instituto Nacional de Estadística y Geografía</t>
  </si>
  <si>
    <t xml:space="preserve">Banxico — Inflation Reports &amp; Policy Rate</t>
  </si>
  <si>
    <t xml:space="preserve">Banco de México</t>
  </si>
  <si>
    <t xml:space="preserve">IMF / SHCP — Fiscal Accounts</t>
  </si>
  <si>
    <t xml:space="preserve">Ministry of Finance (Mexico)</t>
  </si>
  <si>
    <t xml:space="preserve">INEGI Economic Census / Endeavor / IDC / Mexico Business News — Tech &amp; AI</t>
  </si>
  <si>
    <t xml:space="preserve">2024-2025</t>
  </si>
  <si>
    <t xml:space="preserve">Course Presentation Deck</t>
  </si>
  <si>
    <t xml:space="preserve">Mexico_Economics_Presentation.pptx</t>
  </si>
  <si>
    <t xml:space="preserve">Group Economics Assignment</t>
  </si>
  <si>
    <t xml:space="preserve">Course Data Notebook</t>
  </si>
  <si>
    <t xml:space="preserve">ECONOMICS_GRAPHS_Sparsh.ipynb</t>
  </si>
  <si>
    <t xml:space="preserve">Population, Rates, CPI charts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</si>
</sst>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;[RED]\-0.00%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0.5"/>
      <name val="Arial"/>
      <family val="0"/>
      <charset val="1"/>
    </font>
    <font>
      <sz val="10.5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DE"/>
      </left>
      <right style="thin">
        <color rgb="FFB7C6DE"/>
      </right>
      <top style="thin">
        <color rgb="FFB7C6DE"/>
      </top>
      <bottom style="thin">
        <color rgb="FFB7C6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E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55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C5" s="5" t="s">
        <v>8</v>
      </c>
      <c r="D5" s="5" t="s">
        <v>9</v>
      </c>
    </row>
    <row r="6" customFormat="false" ht="15" hidden="false" customHeight="false" outlineLevel="0" collapsed="false">
      <c r="A6" s="6" t="s">
        <v>10</v>
      </c>
      <c r="B6" s="7" t="s">
        <v>11</v>
      </c>
      <c r="C6" s="7" t="s">
        <v>8</v>
      </c>
      <c r="D6" s="7" t="s">
        <v>9</v>
      </c>
    </row>
    <row r="7" customFormat="false" ht="15" hidden="false" customHeight="false" outlineLevel="0" collapsed="false">
      <c r="A7" s="4" t="s">
        <v>12</v>
      </c>
      <c r="B7" s="5" t="s">
        <v>13</v>
      </c>
      <c r="C7" s="5" t="s">
        <v>8</v>
      </c>
      <c r="D7" s="5" t="s">
        <v>14</v>
      </c>
    </row>
    <row r="8" customFormat="false" ht="15" hidden="false" customHeight="false" outlineLevel="0" collapsed="false">
      <c r="A8" s="6" t="s">
        <v>15</v>
      </c>
      <c r="B8" s="7" t="s">
        <v>16</v>
      </c>
      <c r="C8" s="7" t="s">
        <v>8</v>
      </c>
      <c r="D8" s="7" t="s">
        <v>9</v>
      </c>
    </row>
    <row r="9" customFormat="false" ht="15" hidden="false" customHeight="false" outlineLevel="0" collapsed="false">
      <c r="A9" s="4" t="s">
        <v>17</v>
      </c>
      <c r="B9" s="5" t="s">
        <v>18</v>
      </c>
      <c r="C9" s="5" t="s">
        <v>19</v>
      </c>
      <c r="D9" s="5" t="s">
        <v>20</v>
      </c>
    </row>
    <row r="10" customFormat="false" ht="15" hidden="false" customHeight="false" outlineLevel="0" collapsed="false">
      <c r="A10" s="6" t="s">
        <v>21</v>
      </c>
      <c r="B10" s="7" t="s">
        <v>22</v>
      </c>
      <c r="C10" s="7" t="s">
        <v>19</v>
      </c>
      <c r="D10" s="7" t="s">
        <v>20</v>
      </c>
    </row>
    <row r="11" customFormat="false" ht="15" hidden="false" customHeight="false" outlineLevel="0" collapsed="false">
      <c r="A11" s="4" t="s">
        <v>23</v>
      </c>
      <c r="B11" s="5" t="s">
        <v>24</v>
      </c>
      <c r="C11" s="5" t="s">
        <v>25</v>
      </c>
      <c r="D11" s="5" t="s">
        <v>20</v>
      </c>
    </row>
    <row r="12" customFormat="false" ht="15" hidden="false" customHeight="false" outlineLevel="0" collapsed="false">
      <c r="A12" s="6" t="s">
        <v>26</v>
      </c>
      <c r="B12" s="7" t="s">
        <v>27</v>
      </c>
      <c r="C12" s="7" t="s">
        <v>28</v>
      </c>
      <c r="D12" s="7" t="s">
        <v>20</v>
      </c>
    </row>
    <row r="13" customFormat="false" ht="15" hidden="false" customHeight="false" outlineLevel="0" collapsed="false">
      <c r="A13" s="4" t="s">
        <v>29</v>
      </c>
      <c r="B13" s="5" t="s">
        <v>30</v>
      </c>
      <c r="C13" s="5" t="s">
        <v>19</v>
      </c>
      <c r="D13" s="5" t="s">
        <v>31</v>
      </c>
    </row>
    <row r="14" customFormat="false" ht="15" hidden="false" customHeight="false" outlineLevel="0" collapsed="false">
      <c r="A14" s="6" t="s">
        <v>32</v>
      </c>
      <c r="B14" s="7" t="s">
        <v>33</v>
      </c>
      <c r="C14" s="7" t="s">
        <v>19</v>
      </c>
      <c r="D14" s="7" t="s">
        <v>31</v>
      </c>
    </row>
    <row r="15" customFormat="false" ht="15" hidden="false" customHeight="false" outlineLevel="0" collapsed="false">
      <c r="A15" s="4" t="s">
        <v>34</v>
      </c>
      <c r="B15" s="5" t="s">
        <v>35</v>
      </c>
      <c r="C15" s="5" t="s">
        <v>19</v>
      </c>
      <c r="D15" s="5" t="s">
        <v>31</v>
      </c>
    </row>
    <row r="16" customFormat="false" ht="15" hidden="false" customHeight="false" outlineLevel="0" collapsed="false">
      <c r="A16" s="6" t="s">
        <v>36</v>
      </c>
      <c r="B16" s="7" t="s">
        <v>37</v>
      </c>
      <c r="C16" s="7" t="s">
        <v>19</v>
      </c>
      <c r="D16" s="7" t="s">
        <v>31</v>
      </c>
    </row>
    <row r="18" customFormat="false" ht="15" hidden="false" customHeight="false" outlineLevel="0" collapsed="false">
      <c r="A18" s="8" t="s">
        <v>38</v>
      </c>
      <c r="B18" s="8"/>
      <c r="C18" s="8"/>
      <c r="D18" s="8"/>
    </row>
  </sheetData>
  <mergeCells count="3">
    <mergeCell ref="A1:D1"/>
    <mergeCell ref="A2:D2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2"/>
    <col collapsed="false" customWidth="true" hidden="false" outlineLevel="0" max="4" min="4" style="0" width="10"/>
  </cols>
  <sheetData>
    <row r="1" customFormat="false" ht="24" hidden="false" customHeight="true" outlineLevel="0" collapsed="false">
      <c r="A1" s="1" t="s">
        <v>39</v>
      </c>
      <c r="B1" s="1"/>
      <c r="C1" s="1"/>
      <c r="D1" s="1"/>
    </row>
    <row r="2" customFormat="false" ht="15.75" hidden="false" customHeight="true" outlineLevel="0" collapsed="false">
      <c r="A2" s="2" t="s">
        <v>40</v>
      </c>
      <c r="B2" s="2"/>
      <c r="C2" s="2"/>
      <c r="D2" s="2"/>
    </row>
    <row r="4" customFormat="false" ht="15" hidden="false" customHeight="false" outlineLevel="0" collapsed="false">
      <c r="A4" s="9" t="s">
        <v>41</v>
      </c>
    </row>
    <row r="5" customFormat="false" ht="15" hidden="false" customHeight="false" outlineLevel="0" collapsed="false">
      <c r="A5" s="3" t="s">
        <v>4</v>
      </c>
      <c r="B5" s="3" t="s">
        <v>42</v>
      </c>
      <c r="C5" s="3" t="s">
        <v>43</v>
      </c>
    </row>
    <row r="6" customFormat="false" ht="15" hidden="false" customHeight="false" outlineLevel="0" collapsed="false">
      <c r="A6" s="4" t="n">
        <v>2020</v>
      </c>
      <c r="B6" s="10" t="n">
        <v>-0.0412</v>
      </c>
      <c r="C6" s="10" t="n">
        <v>-0.084</v>
      </c>
    </row>
    <row r="7" customFormat="false" ht="15" hidden="false" customHeight="false" outlineLevel="0" collapsed="false">
      <c r="A7" s="6" t="n">
        <v>2021</v>
      </c>
      <c r="B7" s="11" t="n">
        <v>0.1081</v>
      </c>
      <c r="C7" s="11" t="n">
        <v>0.06</v>
      </c>
    </row>
    <row r="8" customFormat="false" ht="15" hidden="false" customHeight="false" outlineLevel="0" collapsed="false">
      <c r="A8" s="4" t="n">
        <v>2022</v>
      </c>
      <c r="B8" s="10" t="n">
        <v>0.1059</v>
      </c>
      <c r="C8" s="10" t="n">
        <v>0.037</v>
      </c>
    </row>
    <row r="9" customFormat="false" ht="15" hidden="false" customHeight="false" outlineLevel="0" collapsed="false">
      <c r="A9" s="6" t="n">
        <v>2023</v>
      </c>
      <c r="B9" s="11" t="n">
        <v>0.0793</v>
      </c>
      <c r="C9" s="11" t="n">
        <v>0.031</v>
      </c>
    </row>
    <row r="10" customFormat="false" ht="15" hidden="false" customHeight="false" outlineLevel="0" collapsed="false">
      <c r="A10" s="4" t="n">
        <v>2024</v>
      </c>
      <c r="B10" s="10" t="n">
        <v>0.0646</v>
      </c>
      <c r="C10" s="10" t="n">
        <v>0.014</v>
      </c>
    </row>
    <row r="11" customFormat="false" ht="15" hidden="false" customHeight="false" outlineLevel="0" collapsed="false">
      <c r="A11" s="6" t="n">
        <v>2025</v>
      </c>
      <c r="B11" s="11" t="n">
        <v>0.0707</v>
      </c>
      <c r="C11" s="11" t="n">
        <v>0.006</v>
      </c>
    </row>
    <row r="12" customFormat="false" ht="15" hidden="false" customHeight="false" outlineLevel="0" collapsed="false">
      <c r="A12" s="8" t="s">
        <v>44</v>
      </c>
      <c r="B12" s="8"/>
      <c r="C12" s="8"/>
      <c r="D12" s="8"/>
    </row>
    <row r="14" customFormat="false" ht="15" hidden="false" customHeight="false" outlineLevel="0" collapsed="false">
      <c r="A14" s="9" t="s">
        <v>45</v>
      </c>
    </row>
    <row r="15" customFormat="false" ht="15" hidden="false" customHeight="false" outlineLevel="0" collapsed="false">
      <c r="A15" s="3" t="s">
        <v>4</v>
      </c>
      <c r="B15" s="3" t="s">
        <v>46</v>
      </c>
      <c r="C15" s="3" t="s">
        <v>47</v>
      </c>
    </row>
    <row r="16" customFormat="false" ht="15" hidden="false" customHeight="false" outlineLevel="0" collapsed="false">
      <c r="A16" s="4" t="n">
        <v>2020</v>
      </c>
      <c r="B16" s="12" t="n">
        <v>15934531</v>
      </c>
      <c r="C16" s="10" t="s">
        <v>48</v>
      </c>
    </row>
    <row r="17" customFormat="false" ht="15" hidden="false" customHeight="false" outlineLevel="0" collapsed="false">
      <c r="A17" s="6" t="n">
        <v>2021</v>
      </c>
      <c r="B17" s="13" t="n">
        <v>18236163</v>
      </c>
      <c r="C17" s="11" t="n">
        <f aca="false">B17/B16-1</f>
        <v>0.144443033811287</v>
      </c>
    </row>
    <row r="18" customFormat="false" ht="15" hidden="false" customHeight="false" outlineLevel="0" collapsed="false">
      <c r="A18" s="4" t="n">
        <v>2022</v>
      </c>
      <c r="B18" s="12" t="n">
        <v>20832808</v>
      </c>
      <c r="C18" s="10" t="n">
        <f aca="false">B18/B17-1</f>
        <v>0.142389876642362</v>
      </c>
    </row>
    <row r="19" customFormat="false" ht="15" hidden="false" customHeight="false" outlineLevel="0" collapsed="false">
      <c r="A19" s="6" t="n">
        <v>2023</v>
      </c>
      <c r="B19" s="13" t="n">
        <v>22262041</v>
      </c>
      <c r="C19" s="11" t="n">
        <f aca="false">B19/B18-1</f>
        <v>0.0686049139415099</v>
      </c>
    </row>
    <row r="20" customFormat="false" ht="15" hidden="false" customHeight="false" outlineLevel="0" collapsed="false">
      <c r="A20" s="4" t="n">
        <v>2024</v>
      </c>
      <c r="B20" s="12" t="n">
        <v>23682190</v>
      </c>
      <c r="C20" s="10" t="n">
        <f aca="false">B20/B19-1</f>
        <v>0.063792398908977</v>
      </c>
    </row>
    <row r="21" customFormat="false" ht="15" hidden="false" customHeight="false" outlineLevel="0" collapsed="false">
      <c r="A21" s="6" t="n">
        <v>2025</v>
      </c>
      <c r="B21" s="13" t="n">
        <v>23860580</v>
      </c>
      <c r="C21" s="11" t="n">
        <f aca="false">B21/B20-1</f>
        <v>0.00753266484222959</v>
      </c>
    </row>
    <row r="24" customFormat="false" ht="15" hidden="false" customHeight="false" outlineLevel="0" collapsed="false">
      <c r="A24" s="9" t="s">
        <v>49</v>
      </c>
    </row>
    <row r="25" customFormat="false" ht="15" hidden="false" customHeight="false" outlineLevel="0" collapsed="false">
      <c r="A25" s="3" t="s">
        <v>4</v>
      </c>
      <c r="B25" s="3" t="s">
        <v>46</v>
      </c>
      <c r="C25" s="3" t="s">
        <v>47</v>
      </c>
    </row>
    <row r="26" customFormat="false" ht="15" hidden="false" customHeight="false" outlineLevel="0" collapsed="false">
      <c r="A26" s="4" t="n">
        <v>2020</v>
      </c>
      <c r="B26" s="12" t="n">
        <v>4874355</v>
      </c>
      <c r="C26" s="10" t="s">
        <v>48</v>
      </c>
    </row>
    <row r="27" customFormat="false" ht="15" hidden="false" customHeight="false" outlineLevel="0" collapsed="false">
      <c r="A27" s="6" t="n">
        <v>2021</v>
      </c>
      <c r="B27" s="13" t="n">
        <v>5793737</v>
      </c>
      <c r="C27" s="11" t="n">
        <f aca="false">B27/B26-1</f>
        <v>0.188616134852714</v>
      </c>
    </row>
    <row r="28" customFormat="false" ht="15" hidden="false" customHeight="false" outlineLevel="0" collapsed="false">
      <c r="A28" s="4" t="n">
        <v>2022</v>
      </c>
      <c r="B28" s="12" t="n">
        <v>6723016</v>
      </c>
      <c r="C28" s="10" t="n">
        <f aca="false">B28/B27-1</f>
        <v>0.160393714799274</v>
      </c>
    </row>
    <row r="29" customFormat="false" ht="15" hidden="false" customHeight="false" outlineLevel="0" collapsed="false">
      <c r="A29" s="6" t="n">
        <v>2023</v>
      </c>
      <c r="B29" s="13" t="n">
        <v>7426472</v>
      </c>
      <c r="C29" s="11" t="n">
        <f aca="false">B29/B28-1</f>
        <v>0.104633991648986</v>
      </c>
    </row>
    <row r="30" customFormat="false" ht="15" hidden="false" customHeight="false" outlineLevel="0" collapsed="false">
      <c r="A30" s="4" t="n">
        <v>2024</v>
      </c>
      <c r="B30" s="12" t="n">
        <v>8009278</v>
      </c>
      <c r="C30" s="10" t="n">
        <f aca="false">B30/B29-1</f>
        <v>0.0784768326063843</v>
      </c>
    </row>
    <row r="31" customFormat="false" ht="15" hidden="false" customHeight="false" outlineLevel="0" collapsed="false">
      <c r="A31" s="6" t="n">
        <v>2025</v>
      </c>
      <c r="B31" s="13" t="n">
        <v>8311087</v>
      </c>
      <c r="C31" s="11" t="n">
        <f aca="false">B31/B30-1</f>
        <v>0.037682422810146</v>
      </c>
    </row>
    <row r="34" customFormat="false" ht="15" hidden="false" customHeight="false" outlineLevel="0" collapsed="false">
      <c r="A34" s="9" t="s">
        <v>50</v>
      </c>
    </row>
    <row r="35" customFormat="false" ht="15" hidden="false" customHeight="false" outlineLevel="0" collapsed="false">
      <c r="A35" s="3" t="s">
        <v>4</v>
      </c>
      <c r="B35" s="3" t="s">
        <v>46</v>
      </c>
      <c r="C35" s="3" t="s">
        <v>47</v>
      </c>
    </row>
    <row r="36" customFormat="false" ht="15" hidden="false" customHeight="false" outlineLevel="0" collapsed="false">
      <c r="A36" s="4" t="n">
        <v>2020</v>
      </c>
      <c r="B36" s="12" t="n">
        <v>2937821</v>
      </c>
      <c r="C36" s="10" t="s">
        <v>48</v>
      </c>
    </row>
    <row r="37" customFormat="false" ht="15" hidden="false" customHeight="false" outlineLevel="0" collapsed="false">
      <c r="A37" s="6" t="n">
        <v>2021</v>
      </c>
      <c r="B37" s="13" t="n">
        <v>3043927</v>
      </c>
      <c r="C37" s="11" t="n">
        <f aca="false">B37/B36-1</f>
        <v>0.036117244719811</v>
      </c>
    </row>
    <row r="38" customFormat="false" ht="15" hidden="false" customHeight="false" outlineLevel="0" collapsed="false">
      <c r="A38" s="4" t="n">
        <v>2022</v>
      </c>
      <c r="B38" s="12" t="n">
        <v>3286498</v>
      </c>
      <c r="C38" s="10" t="n">
        <f aca="false">B38/B37-1</f>
        <v>0.0796901502565601</v>
      </c>
    </row>
    <row r="39" customFormat="false" ht="15" hidden="false" customHeight="false" outlineLevel="0" collapsed="false">
      <c r="A39" s="6" t="n">
        <v>2023</v>
      </c>
      <c r="B39" s="13" t="n">
        <v>3582388</v>
      </c>
      <c r="C39" s="11" t="n">
        <f aca="false">B39/B38-1</f>
        <v>0.0900320036707767</v>
      </c>
    </row>
    <row r="40" customFormat="false" ht="15" hidden="false" customHeight="false" outlineLevel="0" collapsed="false">
      <c r="A40" s="4" t="n">
        <v>2024</v>
      </c>
      <c r="B40" s="12" t="n">
        <v>3894352</v>
      </c>
      <c r="C40" s="10" t="n">
        <f aca="false">B40/B39-1</f>
        <v>0.0870826945601648</v>
      </c>
    </row>
    <row r="41" customFormat="false" ht="15" hidden="false" customHeight="false" outlineLevel="0" collapsed="false">
      <c r="A41" s="6" t="n">
        <v>2025</v>
      </c>
      <c r="B41" s="13" t="n">
        <v>3790496</v>
      </c>
      <c r="C41" s="11" t="n">
        <f aca="false">B41/B40-1</f>
        <v>-0.0266683648524838</v>
      </c>
    </row>
    <row r="43" customFormat="false" ht="15" hidden="false" customHeight="false" outlineLevel="0" collapsed="false">
      <c r="A43" s="8" t="s">
        <v>51</v>
      </c>
      <c r="B43" s="8"/>
      <c r="C43" s="8"/>
      <c r="D43" s="8"/>
    </row>
  </sheetData>
  <mergeCells count="4">
    <mergeCell ref="A1:D1"/>
    <mergeCell ref="A2:D2"/>
    <mergeCell ref="A12:D12"/>
    <mergeCell ref="A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3" min="3" style="0" width="24"/>
  </cols>
  <sheetData>
    <row r="1" customFormat="false" ht="24" hidden="false" customHeight="true" outlineLevel="0" collapsed="false">
      <c r="A1" s="1" t="s">
        <v>52</v>
      </c>
      <c r="B1" s="1"/>
      <c r="C1" s="1"/>
      <c r="D1" s="1"/>
    </row>
    <row r="2" customFormat="false" ht="15.75" hidden="false" customHeight="true" outlineLevel="0" collapsed="false">
      <c r="A2" s="2" t="s">
        <v>53</v>
      </c>
      <c r="B2" s="2"/>
      <c r="C2" s="2"/>
      <c r="D2" s="2"/>
    </row>
    <row r="4" customFormat="false" ht="15" hidden="false" customHeight="false" outlineLevel="0" collapsed="false">
      <c r="A4" s="9" t="s">
        <v>54</v>
      </c>
    </row>
    <row r="5" customFormat="false" ht="15" hidden="false" customHeight="false" outlineLevel="0" collapsed="false">
      <c r="A5" s="3" t="s">
        <v>4</v>
      </c>
      <c r="B5" s="3" t="s">
        <v>46</v>
      </c>
      <c r="C5" s="3" t="s">
        <v>47</v>
      </c>
    </row>
    <row r="6" customFormat="false" ht="15" hidden="false" customHeight="false" outlineLevel="0" collapsed="false">
      <c r="A6" s="4" t="n">
        <v>2020</v>
      </c>
      <c r="B6" s="12" t="n">
        <v>9450529</v>
      </c>
      <c r="C6" s="10" t="s">
        <v>48</v>
      </c>
    </row>
    <row r="7" customFormat="false" ht="15" hidden="false" customHeight="false" outlineLevel="0" collapsed="false">
      <c r="A7" s="6" t="n">
        <v>2021</v>
      </c>
      <c r="B7" s="13" t="n">
        <v>10827931</v>
      </c>
      <c r="C7" s="11" t="n">
        <f aca="false">B7/B6-1</f>
        <v>0.145748666556126</v>
      </c>
    </row>
    <row r="8" customFormat="false" ht="15" hidden="false" customHeight="false" outlineLevel="0" collapsed="false">
      <c r="A8" s="4" t="n">
        <v>2022</v>
      </c>
      <c r="B8" s="12" t="n">
        <v>12675977</v>
      </c>
      <c r="C8" s="10" t="n">
        <f aca="false">B8/B7-1</f>
        <v>0.170673972710022</v>
      </c>
    </row>
    <row r="9" customFormat="false" ht="15" hidden="false" customHeight="false" outlineLevel="0" collapsed="false">
      <c r="A9" s="6" t="n">
        <v>2023</v>
      </c>
      <c r="B9" s="13" t="n">
        <v>11519055</v>
      </c>
      <c r="C9" s="11" t="n">
        <f aca="false">B9/B8-1</f>
        <v>-0.0912688623527796</v>
      </c>
    </row>
    <row r="10" customFormat="false" ht="15" hidden="false" customHeight="false" outlineLevel="0" collapsed="false">
      <c r="A10" s="4" t="n">
        <v>2024</v>
      </c>
      <c r="B10" s="12" t="n">
        <v>12492564</v>
      </c>
      <c r="C10" s="10" t="n">
        <f aca="false">B10/B9-1</f>
        <v>0.0845129222839895</v>
      </c>
    </row>
    <row r="11" customFormat="false" ht="15" hidden="false" customHeight="false" outlineLevel="0" collapsed="false">
      <c r="A11" s="6" t="n">
        <v>2025</v>
      </c>
      <c r="B11" s="13" t="n">
        <v>12745261</v>
      </c>
      <c r="C11" s="11" t="n">
        <f aca="false">B11/B10-1</f>
        <v>0.0202277931095651</v>
      </c>
    </row>
    <row r="14" customFormat="false" ht="15" hidden="false" customHeight="false" outlineLevel="0" collapsed="false">
      <c r="A14" s="9" t="s">
        <v>55</v>
      </c>
    </row>
    <row r="15" customFormat="false" ht="15" hidden="false" customHeight="false" outlineLevel="0" collapsed="false">
      <c r="A15" s="3" t="s">
        <v>4</v>
      </c>
      <c r="B15" s="3" t="s">
        <v>46</v>
      </c>
      <c r="C15" s="3" t="s">
        <v>47</v>
      </c>
    </row>
    <row r="16" customFormat="false" ht="15" hidden="false" customHeight="false" outlineLevel="0" collapsed="false">
      <c r="A16" s="4" t="n">
        <v>2020</v>
      </c>
      <c r="B16" s="12" t="n">
        <v>9061242</v>
      </c>
      <c r="C16" s="10" t="s">
        <v>48</v>
      </c>
    </row>
    <row r="17" customFormat="false" ht="15" hidden="false" customHeight="false" outlineLevel="0" collapsed="false">
      <c r="A17" s="6" t="n">
        <v>2021</v>
      </c>
      <c r="B17" s="13" t="n">
        <v>11343292</v>
      </c>
      <c r="C17" s="11" t="n">
        <f aca="false">B17/B16-1</f>
        <v>0.251847373682327</v>
      </c>
    </row>
    <row r="18" customFormat="false" ht="15" hidden="false" customHeight="false" outlineLevel="0" collapsed="false">
      <c r="A18" s="4" t="n">
        <v>2022</v>
      </c>
      <c r="B18" s="12" t="n">
        <v>13542227</v>
      </c>
      <c r="C18" s="10" t="n">
        <f aca="false">B18/B17-1</f>
        <v>0.193853336403577</v>
      </c>
    </row>
    <row r="19" customFormat="false" ht="15" hidden="false" customHeight="false" outlineLevel="0" collapsed="false">
      <c r="A19" s="6" t="n">
        <v>2023</v>
      </c>
      <c r="B19" s="13" t="n">
        <v>11978953</v>
      </c>
      <c r="C19" s="11" t="n">
        <f aca="false">B19/B18-1</f>
        <v>-0.115436995702406</v>
      </c>
    </row>
    <row r="20" customFormat="false" ht="15" hidden="false" customHeight="false" outlineLevel="0" collapsed="false">
      <c r="A20" s="4" t="n">
        <v>2024</v>
      </c>
      <c r="B20" s="12" t="n">
        <v>12780277</v>
      </c>
      <c r="C20" s="10" t="n">
        <f aca="false">B20/B19-1</f>
        <v>0.0668943270751625</v>
      </c>
    </row>
    <row r="21" customFormat="false" ht="15" hidden="false" customHeight="false" outlineLevel="0" collapsed="false">
      <c r="A21" s="6" t="n">
        <v>2025</v>
      </c>
      <c r="B21" s="13" t="n">
        <v>12970556</v>
      </c>
      <c r="C21" s="11" t="n">
        <f aca="false">B21/B20-1</f>
        <v>0.0148884879412239</v>
      </c>
    </row>
    <row r="24" customFormat="false" ht="15" hidden="false" customHeight="false" outlineLevel="0" collapsed="false">
      <c r="A24" s="9" t="s">
        <v>56</v>
      </c>
    </row>
    <row r="25" customFormat="false" ht="25.35" hidden="false" customHeight="false" outlineLevel="0" collapsed="false">
      <c r="A25" s="3" t="s">
        <v>4</v>
      </c>
      <c r="B25" s="3" t="s">
        <v>57</v>
      </c>
      <c r="C25" s="3" t="s">
        <v>47</v>
      </c>
    </row>
    <row r="26" customFormat="false" ht="15" hidden="false" customHeight="false" outlineLevel="0" collapsed="false">
      <c r="A26" s="4" t="n">
        <v>2020</v>
      </c>
      <c r="B26" s="12" t="n">
        <f aca="false">9450529-9061242</f>
        <v>389287</v>
      </c>
      <c r="C26" s="10" t="s">
        <v>48</v>
      </c>
    </row>
    <row r="27" customFormat="false" ht="15" hidden="false" customHeight="false" outlineLevel="0" collapsed="false">
      <c r="A27" s="6" t="n">
        <v>2021</v>
      </c>
      <c r="B27" s="13" t="n">
        <f aca="false">10827931-11343292</f>
        <v>-515361</v>
      </c>
      <c r="C27" s="11" t="n">
        <f aca="false">B27/B26-1</f>
        <v>-2.32385874688854</v>
      </c>
    </row>
    <row r="28" customFormat="false" ht="15" hidden="false" customHeight="false" outlineLevel="0" collapsed="false">
      <c r="A28" s="4" t="n">
        <v>2022</v>
      </c>
      <c r="B28" s="12" t="n">
        <f aca="false">12675977-13542227</f>
        <v>-866250</v>
      </c>
      <c r="C28" s="10" t="n">
        <f aca="false">B28/B27-1</f>
        <v>0.680860600627521</v>
      </c>
    </row>
    <row r="29" customFormat="false" ht="15" hidden="false" customHeight="false" outlineLevel="0" collapsed="false">
      <c r="A29" s="6" t="n">
        <v>2023</v>
      </c>
      <c r="B29" s="13" t="n">
        <f aca="false">11519055-11978953</f>
        <v>-459898</v>
      </c>
      <c r="C29" s="11" t="n">
        <f aca="false">B29/B28-1</f>
        <v>-0.469093217893218</v>
      </c>
    </row>
    <row r="30" customFormat="false" ht="15" hidden="false" customHeight="false" outlineLevel="0" collapsed="false">
      <c r="A30" s="4" t="n">
        <v>2024</v>
      </c>
      <c r="B30" s="12" t="n">
        <f aca="false">12492564-12780277</f>
        <v>-287713</v>
      </c>
      <c r="C30" s="10" t="n">
        <f aca="false">B30/B29-1</f>
        <v>-0.37439823613062</v>
      </c>
    </row>
    <row r="31" customFormat="false" ht="15" hidden="false" customHeight="false" outlineLevel="0" collapsed="false">
      <c r="A31" s="6" t="n">
        <v>2025</v>
      </c>
      <c r="B31" s="13" t="n">
        <f aca="false">12745261-12970556</f>
        <v>-225295</v>
      </c>
      <c r="C31" s="11" t="n">
        <f aca="false">B31/B30-1</f>
        <v>-0.216945358742914</v>
      </c>
    </row>
    <row r="33" customFormat="false" ht="15" hidden="false" customHeight="false" outlineLevel="0" collapsed="false">
      <c r="A33" s="8" t="s">
        <v>58</v>
      </c>
      <c r="B33" s="8"/>
      <c r="C33" s="8"/>
    </row>
  </sheetData>
  <mergeCells count="3">
    <mergeCell ref="A1:D1"/>
    <mergeCell ref="A2:D2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22"/>
  </cols>
  <sheetData>
    <row r="1" customFormat="false" ht="24" hidden="false" customHeight="true" outlineLevel="0" collapsed="false">
      <c r="A1" s="1" t="s">
        <v>59</v>
      </c>
      <c r="B1" s="1"/>
      <c r="C1" s="1"/>
      <c r="D1" s="1"/>
    </row>
    <row r="2" customFormat="false" ht="15.75" hidden="false" customHeight="true" outlineLevel="0" collapsed="false">
      <c r="A2" s="2" t="s">
        <v>60</v>
      </c>
      <c r="B2" s="2"/>
      <c r="C2" s="2"/>
      <c r="D2" s="2"/>
    </row>
    <row r="4" customFormat="false" ht="15" hidden="false" customHeight="false" outlineLevel="0" collapsed="false">
      <c r="A4" s="9" t="s">
        <v>61</v>
      </c>
    </row>
    <row r="5" customFormat="false" ht="15" hidden="false" customHeight="false" outlineLevel="0" collapsed="false">
      <c r="A5" s="3" t="s">
        <v>4</v>
      </c>
      <c r="B5" s="3" t="s">
        <v>62</v>
      </c>
      <c r="C5" s="3" t="s">
        <v>47</v>
      </c>
    </row>
    <row r="6" customFormat="false" ht="15" hidden="false" customHeight="false" outlineLevel="0" collapsed="false">
      <c r="A6" s="4" t="n">
        <v>2019</v>
      </c>
      <c r="B6" s="12" t="n">
        <v>125523613</v>
      </c>
      <c r="C6" s="10" t="s">
        <v>48</v>
      </c>
    </row>
    <row r="7" customFormat="false" ht="15" hidden="false" customHeight="false" outlineLevel="0" collapsed="false">
      <c r="A7" s="6" t="n">
        <v>2020</v>
      </c>
      <c r="B7" s="13" t="n">
        <v>126880395</v>
      </c>
      <c r="C7" s="11" t="n">
        <f aca="false">B7/B6-1</f>
        <v>0.0108089782278653</v>
      </c>
    </row>
    <row r="8" customFormat="false" ht="15" hidden="false" customHeight="false" outlineLevel="0" collapsed="false">
      <c r="A8" s="4" t="n">
        <v>2021</v>
      </c>
      <c r="B8" s="12" t="n">
        <v>127996051</v>
      </c>
      <c r="C8" s="10" t="n">
        <f aca="false">B8/B7-1</f>
        <v>0.008792973886943</v>
      </c>
    </row>
    <row r="9" customFormat="false" ht="15" hidden="false" customHeight="false" outlineLevel="0" collapsed="false">
      <c r="A9" s="6" t="n">
        <v>2022</v>
      </c>
      <c r="B9" s="13" t="n">
        <v>128857600</v>
      </c>
      <c r="C9" s="11" t="n">
        <f aca="false">B9/B8-1</f>
        <v>0.00673105922619444</v>
      </c>
    </row>
    <row r="10" customFormat="false" ht="15" hidden="false" customHeight="false" outlineLevel="0" collapsed="false">
      <c r="A10" s="4" t="n">
        <v>2023</v>
      </c>
      <c r="B10" s="12" t="n">
        <v>129625968</v>
      </c>
      <c r="C10" s="10" t="n">
        <f aca="false">B10/B9-1</f>
        <v>0.00596292341313198</v>
      </c>
    </row>
    <row r="11" customFormat="false" ht="15" hidden="false" customHeight="false" outlineLevel="0" collapsed="false">
      <c r="A11" s="6" t="n">
        <v>2024</v>
      </c>
      <c r="B11" s="13" t="n">
        <v>130294079</v>
      </c>
      <c r="C11" s="11" t="n">
        <f aca="false">B11/B10-1</f>
        <v>0.00515414473124709</v>
      </c>
    </row>
    <row r="12" customFormat="false" ht="15" hidden="false" customHeight="false" outlineLevel="0" collapsed="false">
      <c r="A12" s="4" t="n">
        <v>2025</v>
      </c>
      <c r="B12" s="12" t="n">
        <v>131001723</v>
      </c>
      <c r="C12" s="10" t="n">
        <f aca="false">B12/B11-1</f>
        <v>0.00543112937618595</v>
      </c>
    </row>
    <row r="15" customFormat="false" ht="15" hidden="false" customHeight="false" outlineLevel="0" collapsed="false">
      <c r="A15" s="9" t="s">
        <v>63</v>
      </c>
    </row>
    <row r="16" customFormat="false" ht="15" hidden="false" customHeight="false" outlineLevel="0" collapsed="false">
      <c r="A16" s="3" t="s">
        <v>4</v>
      </c>
      <c r="B16" s="3" t="s">
        <v>62</v>
      </c>
      <c r="C16" s="3" t="s">
        <v>47</v>
      </c>
    </row>
    <row r="17" customFormat="false" ht="15" hidden="false" customHeight="false" outlineLevel="0" collapsed="false">
      <c r="A17" s="4" t="n">
        <v>2019</v>
      </c>
      <c r="B17" s="12" t="n">
        <v>94731468</v>
      </c>
      <c r="C17" s="10" t="s">
        <v>48</v>
      </c>
    </row>
    <row r="18" customFormat="false" ht="15" hidden="false" customHeight="false" outlineLevel="0" collapsed="false">
      <c r="A18" s="6" t="n">
        <v>2020</v>
      </c>
      <c r="B18" s="13" t="n">
        <v>96640120</v>
      </c>
      <c r="C18" s="11" t="n">
        <f aca="false">B18/B17-1</f>
        <v>0.020148025152529</v>
      </c>
    </row>
    <row r="19" customFormat="false" ht="15" hidden="false" customHeight="false" outlineLevel="0" collapsed="false">
      <c r="A19" s="4" t="n">
        <v>2021</v>
      </c>
      <c r="B19" s="12" t="n">
        <v>98484352</v>
      </c>
      <c r="C19" s="10" t="n">
        <f aca="false">B19/B18-1</f>
        <v>0.0190835027936638</v>
      </c>
    </row>
    <row r="20" customFormat="false" ht="15" hidden="false" customHeight="false" outlineLevel="0" collapsed="false">
      <c r="A20" s="6" t="n">
        <v>2022</v>
      </c>
      <c r="B20" s="13" t="n">
        <v>99515795</v>
      </c>
      <c r="C20" s="11" t="n">
        <f aca="false">B20/B19-1</f>
        <v>0.01047316633611</v>
      </c>
    </row>
    <row r="21" customFormat="false" ht="15" hidden="false" customHeight="false" outlineLevel="0" collapsed="false">
      <c r="A21" s="4" t="n">
        <v>2023</v>
      </c>
      <c r="B21" s="12" t="n">
        <v>100839743</v>
      </c>
      <c r="C21" s="10" t="n">
        <f aca="false">B21/B20-1</f>
        <v>0.0133038981399887</v>
      </c>
    </row>
    <row r="22" customFormat="false" ht="15" hidden="false" customHeight="false" outlineLevel="0" collapsed="false">
      <c r="A22" s="6" t="n">
        <v>2024</v>
      </c>
      <c r="B22" s="13" t="n">
        <v>101936513</v>
      </c>
      <c r="C22" s="11" t="n">
        <f aca="false">B22/B21-1</f>
        <v>0.0108763664738811</v>
      </c>
    </row>
    <row r="23" customFormat="false" ht="15" hidden="false" customHeight="false" outlineLevel="0" collapsed="false">
      <c r="A23" s="4" t="n">
        <v>2025</v>
      </c>
      <c r="B23" s="12" t="n">
        <v>103482949</v>
      </c>
      <c r="C23" s="10" t="n">
        <f aca="false">B23/B22-1</f>
        <v>0.0151705797509476</v>
      </c>
    </row>
    <row r="26" customFormat="false" ht="15" hidden="false" customHeight="false" outlineLevel="0" collapsed="false">
      <c r="A26" s="9" t="s">
        <v>64</v>
      </c>
    </row>
    <row r="27" customFormat="false" ht="15" hidden="false" customHeight="false" outlineLevel="0" collapsed="false">
      <c r="A27" s="3" t="s">
        <v>4</v>
      </c>
      <c r="B27" s="3" t="s">
        <v>62</v>
      </c>
      <c r="C27" s="3" t="s">
        <v>47</v>
      </c>
    </row>
    <row r="28" customFormat="false" ht="15" hidden="false" customHeight="false" outlineLevel="0" collapsed="false">
      <c r="A28" s="4" t="n">
        <v>2019</v>
      </c>
      <c r="B28" s="12" t="n">
        <v>30792145</v>
      </c>
      <c r="C28" s="10" t="s">
        <v>48</v>
      </c>
    </row>
    <row r="29" customFormat="false" ht="15" hidden="false" customHeight="false" outlineLevel="0" collapsed="false">
      <c r="A29" s="6" t="n">
        <v>2020</v>
      </c>
      <c r="B29" s="13" t="n">
        <v>30240275</v>
      </c>
      <c r="C29" s="11" t="n">
        <f aca="false">B29/B28-1</f>
        <v>-0.0179224279438799</v>
      </c>
    </row>
    <row r="30" customFormat="false" ht="15" hidden="false" customHeight="false" outlineLevel="0" collapsed="false">
      <c r="A30" s="4" t="n">
        <v>2021</v>
      </c>
      <c r="B30" s="12" t="n">
        <v>29511699</v>
      </c>
      <c r="C30" s="10" t="n">
        <f aca="false">B30/B29-1</f>
        <v>-0.0240929025943051</v>
      </c>
    </row>
    <row r="31" customFormat="false" ht="15" hidden="false" customHeight="false" outlineLevel="0" collapsed="false">
      <c r="A31" s="6" t="n">
        <v>2022</v>
      </c>
      <c r="B31" s="13" t="n">
        <v>29341805</v>
      </c>
      <c r="C31" s="11" t="n">
        <f aca="false">B31/B30-1</f>
        <v>-0.00575683561966389</v>
      </c>
    </row>
    <row r="32" customFormat="false" ht="15" hidden="false" customHeight="false" outlineLevel="0" collapsed="false">
      <c r="A32" s="4" t="n">
        <v>2023</v>
      </c>
      <c r="B32" s="12" t="n">
        <v>28786225</v>
      </c>
      <c r="C32" s="10" t="n">
        <f aca="false">B32/B31-1</f>
        <v>-0.0189347587852895</v>
      </c>
    </row>
    <row r="33" customFormat="false" ht="15" hidden="false" customHeight="false" outlineLevel="0" collapsed="false">
      <c r="A33" s="6" t="n">
        <v>2024</v>
      </c>
      <c r="B33" s="13" t="n">
        <v>28357566</v>
      </c>
      <c r="C33" s="11" t="n">
        <f aca="false">B33/B32-1</f>
        <v>-0.0148911154553958</v>
      </c>
    </row>
    <row r="34" customFormat="false" ht="15" hidden="false" customHeight="false" outlineLevel="0" collapsed="false">
      <c r="A34" s="4" t="n">
        <v>2025</v>
      </c>
      <c r="B34" s="12" t="n">
        <v>27518774</v>
      </c>
      <c r="C34" s="10" t="n">
        <f aca="false">B34/B33-1</f>
        <v>-0.0295791253734541</v>
      </c>
    </row>
    <row r="37" customFormat="false" ht="15" hidden="false" customHeight="false" outlineLevel="0" collapsed="false">
      <c r="A37" s="9" t="s">
        <v>65</v>
      </c>
    </row>
    <row r="38" customFormat="false" ht="15" hidden="false" customHeight="false" outlineLevel="0" collapsed="false">
      <c r="A38" s="3" t="s">
        <v>4</v>
      </c>
      <c r="B38" s="3" t="s">
        <v>62</v>
      </c>
      <c r="C38" s="3" t="s">
        <v>47</v>
      </c>
    </row>
    <row r="39" customFormat="false" ht="15" hidden="false" customHeight="false" outlineLevel="0" collapsed="false">
      <c r="A39" s="4" t="n">
        <v>2019</v>
      </c>
      <c r="B39" s="12" t="n">
        <v>54614549</v>
      </c>
      <c r="C39" s="10" t="s">
        <v>48</v>
      </c>
    </row>
    <row r="40" customFormat="false" ht="15" hidden="false" customHeight="false" outlineLevel="0" collapsed="false">
      <c r="A40" s="6" t="n">
        <v>2020</v>
      </c>
      <c r="B40" s="13" t="n">
        <v>52997745</v>
      </c>
      <c r="C40" s="11" t="n">
        <f aca="false">B40/B39-1</f>
        <v>-0.0296039064608956</v>
      </c>
    </row>
    <row r="41" customFormat="false" ht="15" hidden="false" customHeight="false" outlineLevel="0" collapsed="false">
      <c r="A41" s="4" t="n">
        <v>2021</v>
      </c>
      <c r="B41" s="12" t="n">
        <v>55165865</v>
      </c>
      <c r="C41" s="10" t="n">
        <f aca="false">B41/B40-1</f>
        <v>0.0409096651187706</v>
      </c>
    </row>
    <row r="42" customFormat="false" ht="15" hidden="false" customHeight="false" outlineLevel="0" collapsed="false">
      <c r="A42" s="6" t="n">
        <v>2022</v>
      </c>
      <c r="B42" s="13" t="n">
        <v>57322399</v>
      </c>
      <c r="C42" s="11" t="n">
        <f aca="false">B42/B41-1</f>
        <v>0.0390918188267329</v>
      </c>
    </row>
    <row r="43" customFormat="false" ht="15" hidden="false" customHeight="false" outlineLevel="0" collapsed="false">
      <c r="A43" s="4" t="n">
        <v>2023</v>
      </c>
      <c r="B43" s="12" t="n">
        <v>58896384</v>
      </c>
      <c r="C43" s="10" t="n">
        <f aca="false">B43/B42-1</f>
        <v>0.0274584634882431</v>
      </c>
    </row>
    <row r="44" customFormat="false" ht="15" hidden="false" customHeight="false" outlineLevel="0" collapsed="false">
      <c r="A44" s="6" t="n">
        <v>2024</v>
      </c>
      <c r="B44" s="13" t="n">
        <v>59365965</v>
      </c>
      <c r="C44" s="11" t="n">
        <f aca="false">B44/B43-1</f>
        <v>0.00797300221351449</v>
      </c>
    </row>
    <row r="45" customFormat="false" ht="15" hidden="false" customHeight="false" outlineLevel="0" collapsed="false">
      <c r="A45" s="4" t="n">
        <v>2025</v>
      </c>
      <c r="B45" s="12" t="n">
        <v>59440268</v>
      </c>
      <c r="C45" s="10" t="n">
        <f aca="false">B45/B44-1</f>
        <v>0.00125160940279501</v>
      </c>
    </row>
    <row r="48" customFormat="false" ht="15" hidden="false" customHeight="false" outlineLevel="0" collapsed="false">
      <c r="A48" s="9" t="s">
        <v>66</v>
      </c>
    </row>
    <row r="49" customFormat="false" ht="15" hidden="false" customHeight="false" outlineLevel="0" collapsed="false">
      <c r="A49" s="3" t="s">
        <v>4</v>
      </c>
      <c r="B49" s="3" t="s">
        <v>62</v>
      </c>
      <c r="C49" s="3" t="s">
        <v>47</v>
      </c>
    </row>
    <row r="50" customFormat="false" ht="15" hidden="false" customHeight="false" outlineLevel="0" collapsed="false">
      <c r="A50" s="4" t="n">
        <v>2019</v>
      </c>
      <c r="B50" s="12" t="n">
        <v>1980439</v>
      </c>
      <c r="C50" s="10" t="s">
        <v>48</v>
      </c>
    </row>
    <row r="51" customFormat="false" ht="15" hidden="false" customHeight="false" outlineLevel="0" collapsed="false">
      <c r="A51" s="6" t="n">
        <v>2020</v>
      </c>
      <c r="B51" s="13" t="n">
        <v>2415655</v>
      </c>
      <c r="C51" s="11" t="n">
        <f aca="false">B51/B50-1</f>
        <v>0.219757336630919</v>
      </c>
    </row>
    <row r="52" customFormat="false" ht="15" hidden="false" customHeight="false" outlineLevel="0" collapsed="false">
      <c r="A52" s="4" t="n">
        <v>2021</v>
      </c>
      <c r="B52" s="12" t="n">
        <v>2364792</v>
      </c>
      <c r="C52" s="10" t="n">
        <f aca="false">B52/B51-1</f>
        <v>-0.0210555729191462</v>
      </c>
    </row>
    <row r="53" customFormat="false" ht="15" hidden="false" customHeight="false" outlineLevel="0" collapsed="false">
      <c r="A53" s="6" t="n">
        <v>2022</v>
      </c>
      <c r="B53" s="13" t="n">
        <v>1940017</v>
      </c>
      <c r="C53" s="11" t="n">
        <f aca="false">B53/B52-1</f>
        <v>-0.179624677350059</v>
      </c>
    </row>
    <row r="54" customFormat="false" ht="15" hidden="false" customHeight="false" outlineLevel="0" collapsed="false">
      <c r="A54" s="4" t="n">
        <v>2023</v>
      </c>
      <c r="B54" s="12" t="n">
        <v>1688960</v>
      </c>
      <c r="C54" s="10" t="n">
        <f aca="false">B54/B53-1</f>
        <v>-0.129409690739823</v>
      </c>
    </row>
    <row r="55" customFormat="false" ht="15" hidden="false" customHeight="false" outlineLevel="0" collapsed="false">
      <c r="A55" s="6" t="n">
        <v>2024</v>
      </c>
      <c r="B55" s="13" t="n">
        <v>1644631</v>
      </c>
      <c r="C55" s="11" t="n">
        <f aca="false">B55/B54-1</f>
        <v>-0.0262463291019326</v>
      </c>
    </row>
    <row r="56" customFormat="false" ht="15" hidden="false" customHeight="false" outlineLevel="0" collapsed="false">
      <c r="A56" s="4" t="n">
        <v>2025</v>
      </c>
      <c r="B56" s="12" t="n">
        <v>1611656</v>
      </c>
      <c r="C56" s="10" t="n">
        <f aca="false">B56/B55-1</f>
        <v>-0.0200500902634087</v>
      </c>
    </row>
    <row r="59" customFormat="false" ht="15" hidden="false" customHeight="false" outlineLevel="0" collapsed="false">
      <c r="A59" s="9" t="s">
        <v>67</v>
      </c>
    </row>
    <row r="60" customFormat="false" ht="15" hidden="false" customHeight="false" outlineLevel="0" collapsed="false">
      <c r="A60" s="3" t="s">
        <v>4</v>
      </c>
      <c r="B60" s="3" t="s">
        <v>62</v>
      </c>
      <c r="C60" s="3" t="s">
        <v>47</v>
      </c>
    </row>
    <row r="61" customFormat="false" ht="15" hidden="false" customHeight="false" outlineLevel="0" collapsed="false">
      <c r="A61" s="4" t="n">
        <v>2019</v>
      </c>
      <c r="B61" s="12" t="n">
        <v>14902234</v>
      </c>
      <c r="C61" s="10" t="s">
        <v>48</v>
      </c>
    </row>
    <row r="62" customFormat="false" ht="15" hidden="false" customHeight="false" outlineLevel="0" collapsed="false">
      <c r="A62" s="6" t="n">
        <v>2020</v>
      </c>
      <c r="B62" s="13" t="n">
        <v>14392242</v>
      </c>
      <c r="C62" s="11" t="n">
        <f aca="false">B62/B61-1</f>
        <v>-0.034222519925536</v>
      </c>
    </row>
    <row r="63" customFormat="false" ht="15" hidden="false" customHeight="false" outlineLevel="0" collapsed="false">
      <c r="A63" s="4" t="n">
        <v>2021</v>
      </c>
      <c r="B63" s="12" t="n">
        <v>15285152</v>
      </c>
      <c r="C63" s="10" t="n">
        <f aca="false">B63/B62-1</f>
        <v>0.062041063511856</v>
      </c>
    </row>
    <row r="64" customFormat="false" ht="15" hidden="false" customHeight="false" outlineLevel="0" collapsed="false">
      <c r="A64" s="6" t="n">
        <v>2022</v>
      </c>
      <c r="B64" s="13" t="n">
        <v>15903953</v>
      </c>
      <c r="C64" s="11" t="n">
        <f aca="false">B64/B63-1</f>
        <v>0.0404837976096017</v>
      </c>
    </row>
    <row r="65" customFormat="false" ht="15" hidden="false" customHeight="false" outlineLevel="0" collapsed="false">
      <c r="A65" s="4" t="n">
        <v>2023</v>
      </c>
      <c r="B65" s="12" t="n">
        <v>16195247</v>
      </c>
      <c r="C65" s="10" t="n">
        <f aca="false">B65/B64-1</f>
        <v>0.0183158237452035</v>
      </c>
    </row>
    <row r="66" customFormat="false" ht="15" hidden="false" customHeight="false" outlineLevel="0" collapsed="false">
      <c r="A66" s="6" t="n">
        <v>2024</v>
      </c>
      <c r="B66" s="13" t="n">
        <v>16189109</v>
      </c>
      <c r="C66" s="11" t="n">
        <f aca="false">B66/B65-1</f>
        <v>-0.0003790000856424</v>
      </c>
    </row>
    <row r="67" customFormat="false" ht="15" hidden="false" customHeight="false" outlineLevel="0" collapsed="false">
      <c r="A67" s="4" t="n">
        <v>2025</v>
      </c>
      <c r="B67" s="12" t="n">
        <v>16412083</v>
      </c>
      <c r="C67" s="10" t="n">
        <f aca="false">B67/B66-1</f>
        <v>0.0137730865855557</v>
      </c>
    </row>
    <row r="69" customFormat="false" ht="15" hidden="false" customHeight="false" outlineLevel="0" collapsed="false">
      <c r="A69" s="8" t="s">
        <v>68</v>
      </c>
      <c r="B69" s="8"/>
      <c r="C69" s="8"/>
    </row>
  </sheetData>
  <mergeCells count="3">
    <mergeCell ref="A1:D1"/>
    <mergeCell ref="A2:D2"/>
    <mergeCell ref="A69:C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</cols>
  <sheetData>
    <row r="1" customFormat="false" ht="24" hidden="false" customHeight="true" outlineLevel="0" collapsed="false">
      <c r="A1" s="1" t="s">
        <v>69</v>
      </c>
      <c r="B1" s="1"/>
      <c r="C1" s="1"/>
      <c r="D1" s="1"/>
    </row>
    <row r="2" customFormat="false" ht="15.75" hidden="false" customHeight="true" outlineLevel="0" collapsed="false">
      <c r="A2" s="2" t="s">
        <v>70</v>
      </c>
      <c r="B2" s="2"/>
      <c r="C2" s="2"/>
      <c r="D2" s="2"/>
    </row>
    <row r="4" customFormat="false" ht="15" hidden="false" customHeight="false" outlineLevel="0" collapsed="false">
      <c r="A4" s="9" t="s">
        <v>71</v>
      </c>
    </row>
    <row r="5" customFormat="false" ht="15" hidden="false" customHeight="false" outlineLevel="0" collapsed="false">
      <c r="A5" s="3" t="s">
        <v>4</v>
      </c>
      <c r="B5" s="3" t="s">
        <v>72</v>
      </c>
    </row>
    <row r="6" customFormat="false" ht="15" hidden="false" customHeight="false" outlineLevel="0" collapsed="false">
      <c r="A6" s="4" t="n">
        <v>2019</v>
      </c>
      <c r="B6" s="10" t="n">
        <v>0.7547</v>
      </c>
    </row>
    <row r="7" customFormat="false" ht="15" hidden="false" customHeight="false" outlineLevel="0" collapsed="false">
      <c r="A7" s="6" t="n">
        <v>2020</v>
      </c>
      <c r="B7" s="11" t="n">
        <v>0.7617</v>
      </c>
    </row>
    <row r="8" customFormat="false" ht="15" hidden="false" customHeight="false" outlineLevel="0" collapsed="false">
      <c r="A8" s="4" t="n">
        <v>2021</v>
      </c>
      <c r="B8" s="10" t="n">
        <v>0.7694</v>
      </c>
    </row>
    <row r="9" customFormat="false" ht="15" hidden="false" customHeight="false" outlineLevel="0" collapsed="false">
      <c r="A9" s="6" t="n">
        <v>2022</v>
      </c>
      <c r="B9" s="11" t="n">
        <v>0.7723</v>
      </c>
    </row>
    <row r="10" customFormat="false" ht="15" hidden="false" customHeight="false" outlineLevel="0" collapsed="false">
      <c r="A10" s="4" t="n">
        <v>2023</v>
      </c>
      <c r="B10" s="10" t="n">
        <v>0.7779</v>
      </c>
    </row>
    <row r="11" customFormat="false" ht="15" hidden="false" customHeight="false" outlineLevel="0" collapsed="false">
      <c r="A11" s="6" t="n">
        <v>2024</v>
      </c>
      <c r="B11" s="11" t="n">
        <v>0.7824</v>
      </c>
    </row>
    <row r="12" customFormat="false" ht="15" hidden="false" customHeight="false" outlineLevel="0" collapsed="false">
      <c r="A12" s="4" t="n">
        <v>2025</v>
      </c>
      <c r="B12" s="10" t="n">
        <v>0.7899</v>
      </c>
    </row>
    <row r="15" customFormat="false" ht="15" hidden="false" customHeight="false" outlineLevel="0" collapsed="false">
      <c r="A15" s="9" t="s">
        <v>73</v>
      </c>
    </row>
    <row r="16" customFormat="false" ht="15" hidden="false" customHeight="false" outlineLevel="0" collapsed="false">
      <c r="A16" s="3" t="s">
        <v>4</v>
      </c>
      <c r="B16" s="3" t="s">
        <v>72</v>
      </c>
    </row>
    <row r="17" customFormat="false" ht="15" hidden="false" customHeight="false" outlineLevel="0" collapsed="false">
      <c r="A17" s="4" t="n">
        <v>2019</v>
      </c>
      <c r="B17" s="10" t="n">
        <v>0.5974</v>
      </c>
    </row>
    <row r="18" customFormat="false" ht="15" hidden="false" customHeight="false" outlineLevel="0" collapsed="false">
      <c r="A18" s="6" t="n">
        <v>2020</v>
      </c>
      <c r="B18" s="11" t="n">
        <v>0.5734</v>
      </c>
    </row>
    <row r="19" customFormat="false" ht="15" hidden="false" customHeight="false" outlineLevel="0" collapsed="false">
      <c r="A19" s="4" t="n">
        <v>2021</v>
      </c>
      <c r="B19" s="10" t="n">
        <v>0.5842</v>
      </c>
    </row>
    <row r="20" customFormat="false" ht="15" hidden="false" customHeight="false" outlineLevel="0" collapsed="false">
      <c r="A20" s="6" t="n">
        <v>2022</v>
      </c>
      <c r="B20" s="11" t="n">
        <v>0.5955</v>
      </c>
    </row>
    <row r="21" customFormat="false" ht="15" hidden="false" customHeight="false" outlineLevel="0" collapsed="false">
      <c r="A21" s="4" t="n">
        <v>2023</v>
      </c>
      <c r="B21" s="10" t="n">
        <v>0.6008</v>
      </c>
    </row>
    <row r="22" customFormat="false" ht="15" hidden="false" customHeight="false" outlineLevel="0" collapsed="false">
      <c r="A22" s="6" t="n">
        <v>2024</v>
      </c>
      <c r="B22" s="11" t="n">
        <v>0.5985</v>
      </c>
    </row>
    <row r="23" customFormat="false" ht="15" hidden="false" customHeight="false" outlineLevel="0" collapsed="false">
      <c r="A23" s="4" t="n">
        <v>2025</v>
      </c>
      <c r="B23" s="10" t="n">
        <v>0.5899</v>
      </c>
    </row>
    <row r="26" customFormat="false" ht="15" hidden="false" customHeight="false" outlineLevel="0" collapsed="false">
      <c r="A26" s="9" t="s">
        <v>74</v>
      </c>
    </row>
    <row r="27" customFormat="false" ht="15" hidden="false" customHeight="false" outlineLevel="0" collapsed="false">
      <c r="A27" s="3" t="s">
        <v>4</v>
      </c>
      <c r="B27" s="3" t="s">
        <v>72</v>
      </c>
    </row>
    <row r="28" customFormat="false" ht="15" hidden="false" customHeight="false" outlineLevel="0" collapsed="false">
      <c r="A28" s="4" t="n">
        <v>2019</v>
      </c>
      <c r="B28" s="10" t="n">
        <v>0.035</v>
      </c>
    </row>
    <row r="29" customFormat="false" ht="15" hidden="false" customHeight="false" outlineLevel="0" collapsed="false">
      <c r="A29" s="6" t="n">
        <v>2020</v>
      </c>
      <c r="B29" s="11" t="n">
        <v>0.0436</v>
      </c>
    </row>
    <row r="30" customFormat="false" ht="15" hidden="false" customHeight="false" outlineLevel="0" collapsed="false">
      <c r="A30" s="4" t="n">
        <v>2021</v>
      </c>
      <c r="B30" s="10" t="n">
        <v>0.0411</v>
      </c>
    </row>
    <row r="31" customFormat="false" ht="15" hidden="false" customHeight="false" outlineLevel="0" collapsed="false">
      <c r="A31" s="6" t="n">
        <v>2022</v>
      </c>
      <c r="B31" s="11" t="n">
        <v>0.0327</v>
      </c>
    </row>
    <row r="32" customFormat="false" ht="15" hidden="false" customHeight="false" outlineLevel="0" collapsed="false">
      <c r="A32" s="4" t="n">
        <v>2023</v>
      </c>
      <c r="B32" s="10" t="n">
        <v>0.0279</v>
      </c>
    </row>
    <row r="33" customFormat="false" ht="15" hidden="false" customHeight="false" outlineLevel="0" collapsed="false">
      <c r="A33" s="6" t="n">
        <v>2024</v>
      </c>
      <c r="B33" s="11" t="n">
        <v>0.027</v>
      </c>
    </row>
    <row r="34" customFormat="false" ht="15" hidden="false" customHeight="false" outlineLevel="0" collapsed="false">
      <c r="A34" s="4" t="n">
        <v>2025</v>
      </c>
      <c r="B34" s="10" t="n">
        <v>0.0264</v>
      </c>
    </row>
    <row r="37" customFormat="false" ht="15" hidden="false" customHeight="false" outlineLevel="0" collapsed="false">
      <c r="A37" s="9" t="s">
        <v>75</v>
      </c>
    </row>
    <row r="38" customFormat="false" ht="15" hidden="false" customHeight="false" outlineLevel="0" collapsed="false">
      <c r="A38" s="3" t="s">
        <v>4</v>
      </c>
      <c r="B38" s="3" t="s">
        <v>72</v>
      </c>
    </row>
    <row r="39" customFormat="false" ht="15" hidden="false" customHeight="false" outlineLevel="0" collapsed="false">
      <c r="A39" s="4" t="n">
        <v>2019</v>
      </c>
      <c r="B39" s="10" t="n">
        <v>0.035</v>
      </c>
    </row>
    <row r="40" customFormat="false" ht="15" hidden="false" customHeight="false" outlineLevel="0" collapsed="false">
      <c r="A40" s="6" t="n">
        <v>2020</v>
      </c>
      <c r="B40" s="11" t="n">
        <v>0.044</v>
      </c>
    </row>
    <row r="41" customFormat="false" ht="15" hidden="false" customHeight="false" outlineLevel="0" collapsed="false">
      <c r="A41" s="4" t="n">
        <v>2021</v>
      </c>
      <c r="B41" s="10" t="n">
        <v>0.04</v>
      </c>
    </row>
    <row r="42" customFormat="false" ht="15" hidden="false" customHeight="false" outlineLevel="0" collapsed="false">
      <c r="A42" s="6" t="n">
        <v>2022</v>
      </c>
      <c r="B42" s="11" t="n">
        <v>0.033</v>
      </c>
    </row>
    <row r="43" customFormat="false" ht="15" hidden="false" customHeight="false" outlineLevel="0" collapsed="false">
      <c r="A43" s="4" t="n">
        <v>2023</v>
      </c>
      <c r="B43" s="10" t="n">
        <v>0.028</v>
      </c>
    </row>
    <row r="44" customFormat="false" ht="15" hidden="false" customHeight="false" outlineLevel="0" collapsed="false">
      <c r="A44" s="6" t="n">
        <v>2024</v>
      </c>
      <c r="B44" s="11" t="n">
        <v>0.027</v>
      </c>
    </row>
    <row r="45" customFormat="false" ht="15" hidden="false" customHeight="false" outlineLevel="0" collapsed="false">
      <c r="A45" s="4" t="n">
        <v>2025</v>
      </c>
      <c r="B45" s="10" t="n">
        <v>0.027</v>
      </c>
    </row>
    <row r="47" customFormat="false" ht="15" hidden="false" customHeight="false" outlineLevel="0" collapsed="false">
      <c r="A47" s="8" t="s">
        <v>76</v>
      </c>
      <c r="B47" s="8"/>
    </row>
  </sheetData>
  <mergeCells count="3">
    <mergeCell ref="A1:D1"/>
    <mergeCell ref="A2:D2"/>
    <mergeCell ref="A47:B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4"/>
  </cols>
  <sheetData>
    <row r="1" customFormat="false" ht="24" hidden="false" customHeight="true" outlineLevel="0" collapsed="false">
      <c r="A1" s="1" t="s">
        <v>77</v>
      </c>
      <c r="B1" s="1"/>
      <c r="C1" s="1"/>
      <c r="D1" s="1"/>
    </row>
    <row r="2" customFormat="false" ht="15.75" hidden="false" customHeight="true" outlineLevel="0" collapsed="false">
      <c r="A2" s="2" t="s">
        <v>78</v>
      </c>
      <c r="B2" s="2"/>
      <c r="C2" s="2"/>
      <c r="D2" s="2"/>
    </row>
    <row r="4" customFormat="false" ht="15" hidden="false" customHeight="false" outlineLevel="0" collapsed="false">
      <c r="A4" s="9" t="s">
        <v>79</v>
      </c>
    </row>
    <row r="5" customFormat="false" ht="15" hidden="false" customHeight="false" outlineLevel="0" collapsed="false">
      <c r="A5" s="3" t="s">
        <v>4</v>
      </c>
      <c r="B5" s="3" t="s">
        <v>80</v>
      </c>
    </row>
    <row r="6" customFormat="false" ht="15" hidden="false" customHeight="false" outlineLevel="0" collapsed="false">
      <c r="A6" s="4" t="n">
        <v>2019</v>
      </c>
      <c r="B6" s="10" t="n">
        <v>0.036</v>
      </c>
    </row>
    <row r="7" customFormat="false" ht="15" hidden="false" customHeight="false" outlineLevel="0" collapsed="false">
      <c r="A7" s="6" t="n">
        <v>2020</v>
      </c>
      <c r="B7" s="11" t="n">
        <v>0.034</v>
      </c>
    </row>
    <row r="8" customFormat="false" ht="15" hidden="false" customHeight="false" outlineLevel="0" collapsed="false">
      <c r="A8" s="4" t="n">
        <v>2021</v>
      </c>
      <c r="B8" s="10" t="n">
        <v>0.057</v>
      </c>
    </row>
    <row r="9" customFormat="false" ht="15" hidden="false" customHeight="false" outlineLevel="0" collapsed="false">
      <c r="A9" s="6" t="n">
        <v>2022</v>
      </c>
      <c r="B9" s="11" t="n">
        <v>0.079</v>
      </c>
    </row>
    <row r="10" customFormat="false" ht="15" hidden="false" customHeight="false" outlineLevel="0" collapsed="false">
      <c r="A10" s="4" t="n">
        <v>2023</v>
      </c>
      <c r="B10" s="10" t="n">
        <v>0.055</v>
      </c>
    </row>
    <row r="11" customFormat="false" ht="15" hidden="false" customHeight="false" outlineLevel="0" collapsed="false">
      <c r="A11" s="6" t="n">
        <v>2024</v>
      </c>
      <c r="B11" s="11" t="n">
        <v>0.047</v>
      </c>
    </row>
    <row r="12" customFormat="false" ht="15" hidden="false" customHeight="false" outlineLevel="0" collapsed="false">
      <c r="A12" s="4" t="n">
        <v>2025</v>
      </c>
      <c r="B12" s="10" t="n">
        <v>0.038</v>
      </c>
    </row>
    <row r="13" customFormat="false" ht="15" hidden="false" customHeight="false" outlineLevel="0" collapsed="false">
      <c r="A13" s="8" t="s">
        <v>81</v>
      </c>
      <c r="B13" s="8"/>
    </row>
    <row r="15" customFormat="false" ht="15" hidden="false" customHeight="false" outlineLevel="0" collapsed="false">
      <c r="A15" s="9" t="s">
        <v>82</v>
      </c>
    </row>
    <row r="16" customFormat="false" ht="25.35" hidden="false" customHeight="false" outlineLevel="0" collapsed="false">
      <c r="A16" s="3" t="s">
        <v>4</v>
      </c>
      <c r="B16" s="3" t="s">
        <v>83</v>
      </c>
      <c r="C16" s="3" t="s">
        <v>84</v>
      </c>
    </row>
    <row r="17" customFormat="false" ht="15" hidden="false" customHeight="false" outlineLevel="0" collapsed="false">
      <c r="A17" s="4" t="n">
        <v>2019</v>
      </c>
      <c r="B17" s="10" t="n">
        <v>0.0364</v>
      </c>
      <c r="C17" s="10" t="s">
        <v>85</v>
      </c>
    </row>
    <row r="18" customFormat="false" ht="15" hidden="false" customHeight="false" outlineLevel="0" collapsed="false">
      <c r="A18" s="6" t="n">
        <v>2020</v>
      </c>
      <c r="B18" s="11" t="n">
        <v>0.034</v>
      </c>
      <c r="C18" s="11" t="n">
        <f aca="false">B18-B17</f>
        <v>-0.0024</v>
      </c>
    </row>
    <row r="19" customFormat="false" ht="15" hidden="false" customHeight="false" outlineLevel="0" collapsed="false">
      <c r="A19" s="4" t="n">
        <v>2021</v>
      </c>
      <c r="B19" s="10" t="n">
        <v>0.0569</v>
      </c>
      <c r="C19" s="10" t="n">
        <f aca="false">B19-B18</f>
        <v>0.0229</v>
      </c>
    </row>
    <row r="20" customFormat="false" ht="15" hidden="false" customHeight="false" outlineLevel="0" collapsed="false">
      <c r="A20" s="6" t="n">
        <v>2022</v>
      </c>
      <c r="B20" s="11" t="n">
        <v>0.079</v>
      </c>
      <c r="C20" s="11" t="n">
        <f aca="false">B20-B19</f>
        <v>0.0221</v>
      </c>
    </row>
    <row r="21" customFormat="false" ht="15" hidden="false" customHeight="false" outlineLevel="0" collapsed="false">
      <c r="A21" s="4" t="n">
        <v>2023</v>
      </c>
      <c r="B21" s="10" t="n">
        <v>0.0553</v>
      </c>
      <c r="C21" s="10" t="n">
        <f aca="false">B21-B20</f>
        <v>-0.0237</v>
      </c>
    </row>
    <row r="22" customFormat="false" ht="15" hidden="false" customHeight="false" outlineLevel="0" collapsed="false">
      <c r="A22" s="6" t="n">
        <v>2024</v>
      </c>
      <c r="B22" s="11" t="n">
        <v>0.0472</v>
      </c>
      <c r="C22" s="11" t="n">
        <f aca="false">B22-B21</f>
        <v>-0.0081</v>
      </c>
    </row>
    <row r="23" customFormat="false" ht="15" hidden="false" customHeight="false" outlineLevel="0" collapsed="false">
      <c r="A23" s="4" t="n">
        <v>2025</v>
      </c>
      <c r="B23" s="10" t="n">
        <v>0.0381</v>
      </c>
      <c r="C23" s="10" t="n">
        <f aca="false">B23-B22</f>
        <v>-0.0091</v>
      </c>
    </row>
    <row r="26" customFormat="false" ht="15" hidden="false" customHeight="false" outlineLevel="0" collapsed="false">
      <c r="A26" s="9" t="s">
        <v>86</v>
      </c>
    </row>
    <row r="27" customFormat="false" ht="25.35" hidden="false" customHeight="false" outlineLevel="0" collapsed="false">
      <c r="A27" s="3" t="s">
        <v>4</v>
      </c>
      <c r="B27" s="3" t="s">
        <v>87</v>
      </c>
      <c r="C27" s="3" t="s">
        <v>84</v>
      </c>
    </row>
    <row r="28" customFormat="false" ht="15" hidden="false" customHeight="false" outlineLevel="0" collapsed="false">
      <c r="A28" s="4" t="n">
        <v>2019</v>
      </c>
      <c r="B28" s="10" t="n">
        <v>0.031</v>
      </c>
      <c r="C28" s="10" t="s">
        <v>85</v>
      </c>
    </row>
    <row r="29" customFormat="false" ht="15" hidden="false" customHeight="false" outlineLevel="0" collapsed="false">
      <c r="A29" s="6" t="n">
        <v>2020</v>
      </c>
      <c r="B29" s="11" t="n">
        <v>0.0434</v>
      </c>
      <c r="C29" s="11" t="n">
        <f aca="false">B29-B28</f>
        <v>0.0124</v>
      </c>
    </row>
    <row r="30" customFormat="false" ht="15" hidden="false" customHeight="false" outlineLevel="0" collapsed="false">
      <c r="A30" s="4" t="n">
        <v>2021</v>
      </c>
      <c r="B30" s="10" t="n">
        <v>0.0696</v>
      </c>
      <c r="C30" s="10" t="n">
        <f aca="false">B30-B29</f>
        <v>0.0262</v>
      </c>
    </row>
    <row r="31" customFormat="false" ht="15" hidden="false" customHeight="false" outlineLevel="0" collapsed="false">
      <c r="A31" s="6" t="n">
        <v>2022</v>
      </c>
      <c r="B31" s="11" t="n">
        <v>0.074</v>
      </c>
      <c r="C31" s="11" t="n">
        <f aca="false">B31-B30</f>
        <v>0.00440000000000002</v>
      </c>
    </row>
    <row r="32" customFormat="false" ht="15" hidden="false" customHeight="false" outlineLevel="0" collapsed="false">
      <c r="A32" s="4" t="n">
        <v>2023</v>
      </c>
      <c r="B32" s="10" t="n">
        <v>0.046</v>
      </c>
      <c r="C32" s="10" t="n">
        <f aca="false">B32-B31</f>
        <v>-0.028</v>
      </c>
    </row>
    <row r="33" customFormat="false" ht="15" hidden="false" customHeight="false" outlineLevel="0" collapsed="false">
      <c r="A33" s="6" t="n">
        <v>2024</v>
      </c>
      <c r="B33" s="11" t="n">
        <v>0.044</v>
      </c>
      <c r="C33" s="11" t="n">
        <f aca="false">B33-B32</f>
        <v>-0.002</v>
      </c>
    </row>
    <row r="34" customFormat="false" ht="15" hidden="false" customHeight="false" outlineLevel="0" collapsed="false">
      <c r="A34" s="4" t="n">
        <v>2025</v>
      </c>
      <c r="B34" s="10" t="n">
        <v>0.041</v>
      </c>
      <c r="C34" s="10" t="n">
        <f aca="false">B34-B33</f>
        <v>-0.00300000000000001</v>
      </c>
    </row>
    <row r="36" customFormat="false" ht="15" hidden="false" customHeight="false" outlineLevel="0" collapsed="false">
      <c r="A36" s="8" t="s">
        <v>88</v>
      </c>
      <c r="B36" s="8"/>
      <c r="C36" s="8"/>
    </row>
  </sheetData>
  <mergeCells count="4">
    <mergeCell ref="A1:D1"/>
    <mergeCell ref="A2:D2"/>
    <mergeCell ref="A13:B13"/>
    <mergeCell ref="A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</cols>
  <sheetData>
    <row r="1" customFormat="false" ht="24" hidden="false" customHeight="true" outlineLevel="0" collapsed="false">
      <c r="A1" s="1" t="s">
        <v>89</v>
      </c>
      <c r="B1" s="1"/>
      <c r="C1" s="1"/>
      <c r="D1" s="1"/>
    </row>
    <row r="2" customFormat="false" ht="15.75" hidden="false" customHeight="true" outlineLevel="0" collapsed="false">
      <c r="A2" s="2" t="s">
        <v>90</v>
      </c>
      <c r="B2" s="2"/>
      <c r="C2" s="2"/>
      <c r="D2" s="2"/>
    </row>
    <row r="4" customFormat="false" ht="15" hidden="false" customHeight="false" outlineLevel="0" collapsed="false">
      <c r="A4" s="3" t="s">
        <v>91</v>
      </c>
      <c r="B4" s="3" t="s">
        <v>92</v>
      </c>
    </row>
    <row r="5" customFormat="false" ht="15" hidden="false" customHeight="false" outlineLevel="0" collapsed="false">
      <c r="A5" s="4" t="s">
        <v>93</v>
      </c>
      <c r="B5" s="10" t="n">
        <v>0.021</v>
      </c>
    </row>
    <row r="6" customFormat="false" ht="15" hidden="false" customHeight="false" outlineLevel="0" collapsed="false">
      <c r="A6" s="6" t="s">
        <v>94</v>
      </c>
      <c r="B6" s="11" t="n">
        <v>0.059</v>
      </c>
    </row>
    <row r="7" customFormat="false" ht="15" hidden="false" customHeight="false" outlineLevel="0" collapsed="false">
      <c r="A7" s="4" t="s">
        <v>95</v>
      </c>
      <c r="B7" s="10" t="n">
        <v>0.039</v>
      </c>
    </row>
    <row r="9" customFormat="false" ht="15" hidden="false" customHeight="false" outlineLevel="0" collapsed="false">
      <c r="A9" s="8" t="s">
        <v>96</v>
      </c>
      <c r="B9" s="8"/>
    </row>
  </sheetData>
  <mergeCells count="3">
    <mergeCell ref="A1:D1"/>
    <mergeCell ref="A2:D2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</cols>
  <sheetData>
    <row r="1" customFormat="false" ht="24" hidden="false" customHeight="true" outlineLevel="0" collapsed="false">
      <c r="A1" s="1" t="s">
        <v>97</v>
      </c>
      <c r="B1" s="1"/>
      <c r="C1" s="1"/>
      <c r="D1" s="1"/>
    </row>
    <row r="2" customFormat="false" ht="15.75" hidden="false" customHeight="true" outlineLevel="0" collapsed="false">
      <c r="A2" s="2" t="s">
        <v>98</v>
      </c>
      <c r="B2" s="2"/>
      <c r="C2" s="2"/>
      <c r="D2" s="2"/>
    </row>
    <row r="4" customFormat="false" ht="15" hidden="false" customHeight="false" outlineLevel="0" collapsed="false">
      <c r="A4" s="3" t="s">
        <v>4</v>
      </c>
      <c r="B4" s="3" t="s">
        <v>99</v>
      </c>
    </row>
    <row r="5" customFormat="false" ht="15" hidden="false" customHeight="false" outlineLevel="0" collapsed="false">
      <c r="A5" s="4" t="n">
        <v>2019</v>
      </c>
      <c r="B5" s="10" t="n">
        <v>0.0725</v>
      </c>
    </row>
    <row r="6" customFormat="false" ht="15" hidden="false" customHeight="false" outlineLevel="0" collapsed="false">
      <c r="A6" s="6" t="n">
        <v>2020</v>
      </c>
      <c r="B6" s="11" t="n">
        <v>0.0425</v>
      </c>
    </row>
    <row r="7" customFormat="false" ht="15" hidden="false" customHeight="false" outlineLevel="0" collapsed="false">
      <c r="A7" s="4" t="n">
        <v>2021</v>
      </c>
      <c r="B7" s="10" t="n">
        <v>0.055</v>
      </c>
    </row>
    <row r="8" customFormat="false" ht="15" hidden="false" customHeight="false" outlineLevel="0" collapsed="false">
      <c r="A8" s="6" t="n">
        <v>2022</v>
      </c>
      <c r="B8" s="11" t="n">
        <v>0.105</v>
      </c>
    </row>
    <row r="9" customFormat="false" ht="15" hidden="false" customHeight="false" outlineLevel="0" collapsed="false">
      <c r="A9" s="4" t="n">
        <v>2023</v>
      </c>
      <c r="B9" s="10" t="n">
        <v>0.1125</v>
      </c>
    </row>
    <row r="10" customFormat="false" ht="15" hidden="false" customHeight="false" outlineLevel="0" collapsed="false">
      <c r="A10" s="6" t="n">
        <v>2024</v>
      </c>
      <c r="B10" s="11" t="n">
        <v>0.1</v>
      </c>
    </row>
    <row r="11" customFormat="false" ht="15" hidden="false" customHeight="false" outlineLevel="0" collapsed="false">
      <c r="A11" s="4" t="n">
        <v>2025</v>
      </c>
      <c r="B11" s="10" t="n">
        <v>0.08</v>
      </c>
    </row>
    <row r="13" customFormat="false" ht="15" hidden="false" customHeight="false" outlineLevel="0" collapsed="false">
      <c r="A13" s="8" t="s">
        <v>100</v>
      </c>
      <c r="B13" s="8"/>
    </row>
    <row r="14" customFormat="false" ht="15" hidden="false" customHeight="false" outlineLevel="0" collapsed="false">
      <c r="A14" s="9" t="s">
        <v>101</v>
      </c>
    </row>
    <row r="15" customFormat="false" ht="15" hidden="false" customHeight="false" outlineLevel="0" collapsed="false">
      <c r="A15" s="3" t="s">
        <v>102</v>
      </c>
      <c r="B15" s="3" t="s">
        <v>103</v>
      </c>
    </row>
    <row r="16" customFormat="false" ht="15" hidden="false" customHeight="false" outlineLevel="0" collapsed="false">
      <c r="A16" s="4" t="s">
        <v>104</v>
      </c>
      <c r="B16" s="5" t="s">
        <v>105</v>
      </c>
    </row>
    <row r="17" customFormat="false" ht="15" hidden="false" customHeight="false" outlineLevel="0" collapsed="false">
      <c r="A17" s="6" t="s">
        <v>104</v>
      </c>
      <c r="B17" s="7" t="s">
        <v>106</v>
      </c>
    </row>
    <row r="18" customFormat="false" ht="15" hidden="false" customHeight="false" outlineLevel="0" collapsed="false">
      <c r="A18" s="4" t="s">
        <v>104</v>
      </c>
      <c r="B18" s="5" t="s">
        <v>107</v>
      </c>
    </row>
    <row r="19" customFormat="false" ht="15" hidden="false" customHeight="false" outlineLevel="0" collapsed="false">
      <c r="A19" s="6" t="s">
        <v>104</v>
      </c>
      <c r="B19" s="7" t="s">
        <v>108</v>
      </c>
    </row>
    <row r="20" customFormat="false" ht="15" hidden="false" customHeight="false" outlineLevel="0" collapsed="false">
      <c r="A20" s="4" t="s">
        <v>109</v>
      </c>
      <c r="B20" s="5" t="s">
        <v>110</v>
      </c>
    </row>
    <row r="21" customFormat="false" ht="15" hidden="false" customHeight="false" outlineLevel="0" collapsed="false">
      <c r="A21" s="6" t="s">
        <v>109</v>
      </c>
      <c r="B21" s="7" t="s">
        <v>111</v>
      </c>
    </row>
    <row r="22" customFormat="false" ht="15" hidden="false" customHeight="false" outlineLevel="0" collapsed="false">
      <c r="A22" s="4" t="s">
        <v>109</v>
      </c>
      <c r="B22" s="5" t="s">
        <v>112</v>
      </c>
    </row>
    <row r="23" customFormat="false" ht="15" hidden="false" customHeight="false" outlineLevel="0" collapsed="false">
      <c r="A23" s="6" t="s">
        <v>109</v>
      </c>
      <c r="B23" s="7" t="s">
        <v>113</v>
      </c>
    </row>
    <row r="24" customFormat="false" ht="15" hidden="false" customHeight="false" outlineLevel="0" collapsed="false">
      <c r="A24" s="4" t="s">
        <v>109</v>
      </c>
      <c r="B24" s="5" t="s">
        <v>114</v>
      </c>
    </row>
  </sheetData>
  <mergeCells count="3">
    <mergeCell ref="A1:D1"/>
    <mergeCell ref="A2:D2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0"/>
  </cols>
  <sheetData>
    <row r="1" customFormat="false" ht="24" hidden="false" customHeight="true" outlineLevel="0" collapsed="false">
      <c r="A1" s="1" t="s">
        <v>115</v>
      </c>
      <c r="B1" s="1"/>
      <c r="C1" s="1"/>
      <c r="D1" s="1"/>
    </row>
    <row r="2" customFormat="false" ht="15.75" hidden="false" customHeight="true" outlineLevel="0" collapsed="false">
      <c r="A2" s="2" t="s">
        <v>116</v>
      </c>
      <c r="B2" s="2"/>
      <c r="C2" s="2"/>
      <c r="D2" s="2"/>
    </row>
    <row r="4" customFormat="false" ht="15" hidden="false" customHeight="false" outlineLevel="0" collapsed="false">
      <c r="A4" s="3" t="s">
        <v>117</v>
      </c>
      <c r="B4" s="3" t="s">
        <v>3</v>
      </c>
      <c r="C4" s="3" t="s">
        <v>5</v>
      </c>
    </row>
    <row r="5" customFormat="false" ht="15" hidden="false" customHeight="false" outlineLevel="0" collapsed="false">
      <c r="A5" s="4" t="s">
        <v>118</v>
      </c>
      <c r="B5" s="5" t="s">
        <v>119</v>
      </c>
      <c r="C5" s="5" t="s">
        <v>120</v>
      </c>
    </row>
    <row r="6" customFormat="false" ht="15" hidden="false" customHeight="false" outlineLevel="0" collapsed="false">
      <c r="A6" s="6" t="s">
        <v>121</v>
      </c>
      <c r="B6" s="7" t="s">
        <v>122</v>
      </c>
      <c r="C6" s="7" t="s">
        <v>123</v>
      </c>
    </row>
    <row r="7" customFormat="false" ht="15" hidden="false" customHeight="false" outlineLevel="0" collapsed="false">
      <c r="A7" s="4" t="s">
        <v>124</v>
      </c>
      <c r="B7" s="5" t="s">
        <v>125</v>
      </c>
      <c r="C7" s="5" t="s">
        <v>126</v>
      </c>
    </row>
    <row r="8" customFormat="false" ht="15" hidden="false" customHeight="false" outlineLevel="0" collapsed="false">
      <c r="A8" s="6" t="s">
        <v>127</v>
      </c>
      <c r="B8" s="7" t="s">
        <v>128</v>
      </c>
      <c r="C8" s="7" t="s">
        <v>129</v>
      </c>
    </row>
    <row r="11" customFormat="false" ht="15" hidden="false" customHeight="false" outlineLevel="0" collapsed="false">
      <c r="A11" s="9" t="s">
        <v>130</v>
      </c>
    </row>
    <row r="12" customFormat="false" ht="15" hidden="false" customHeight="false" outlineLevel="0" collapsed="false">
      <c r="A12" s="3" t="s">
        <v>131</v>
      </c>
      <c r="B12" s="3" t="s">
        <v>132</v>
      </c>
    </row>
    <row r="13" customFormat="false" ht="15" hidden="false" customHeight="false" outlineLevel="0" collapsed="false">
      <c r="A13" s="4" t="s">
        <v>133</v>
      </c>
      <c r="B13" s="5" t="s">
        <v>134</v>
      </c>
    </row>
    <row r="14" customFormat="false" ht="15" hidden="false" customHeight="false" outlineLevel="0" collapsed="false">
      <c r="A14" s="6" t="s">
        <v>135</v>
      </c>
      <c r="B14" s="7" t="s">
        <v>136</v>
      </c>
    </row>
    <row r="15" customFormat="false" ht="15" hidden="false" customHeight="false" outlineLevel="0" collapsed="false">
      <c r="A15" s="4" t="s">
        <v>137</v>
      </c>
      <c r="B15" s="5" t="s">
        <v>138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</cols>
  <sheetData>
    <row r="1" customFormat="false" ht="24" hidden="false" customHeight="true" outlineLevel="0" collapsed="false">
      <c r="A1" s="1" t="s">
        <v>139</v>
      </c>
      <c r="B1" s="1"/>
      <c r="C1" s="1"/>
      <c r="D1" s="1"/>
    </row>
    <row r="2" customFormat="false" ht="15.75" hidden="false" customHeight="true" outlineLevel="0" collapsed="false">
      <c r="A2" s="2" t="s">
        <v>140</v>
      </c>
      <c r="B2" s="2"/>
      <c r="C2" s="2"/>
      <c r="D2" s="2"/>
    </row>
    <row r="4" customFormat="false" ht="15" hidden="false" customHeight="false" outlineLevel="0" collapsed="false">
      <c r="A4" s="3" t="s">
        <v>141</v>
      </c>
      <c r="B4" s="3" t="s">
        <v>142</v>
      </c>
    </row>
    <row r="5" customFormat="false" ht="15" hidden="false" customHeight="false" outlineLevel="0" collapsed="false">
      <c r="A5" s="4" t="s">
        <v>143</v>
      </c>
      <c r="B5" s="5" t="s">
        <v>144</v>
      </c>
    </row>
    <row r="6" customFormat="false" ht="15" hidden="false" customHeight="false" outlineLevel="0" collapsed="false">
      <c r="A6" s="6" t="s">
        <v>145</v>
      </c>
      <c r="B6" s="7" t="s">
        <v>146</v>
      </c>
    </row>
    <row r="7" customFormat="false" ht="15" hidden="false" customHeight="false" outlineLevel="0" collapsed="false">
      <c r="A7" s="4" t="s">
        <v>147</v>
      </c>
      <c r="B7" s="5" t="s">
        <v>148</v>
      </c>
    </row>
    <row r="8" customFormat="false" ht="15" hidden="false" customHeight="false" outlineLevel="0" collapsed="false">
      <c r="A8" s="6" t="s">
        <v>149</v>
      </c>
      <c r="B8" s="7" t="s">
        <v>150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70"/>
    <col collapsed="false" customWidth="true" hidden="false" outlineLevel="0" max="3" min="3" style="0" width="20"/>
  </cols>
  <sheetData>
    <row r="1" customFormat="false" ht="24" hidden="false" customHeight="true" outlineLevel="0" collapsed="false">
      <c r="A1" s="1" t="s">
        <v>151</v>
      </c>
      <c r="B1" s="1"/>
    </row>
    <row r="3" customFormat="false" ht="15" hidden="false" customHeight="false" outlineLevel="0" collapsed="false">
      <c r="A3" s="3" t="s">
        <v>152</v>
      </c>
      <c r="B3" s="3" t="s">
        <v>153</v>
      </c>
      <c r="C3" s="3" t="s">
        <v>154</v>
      </c>
    </row>
    <row r="4" customFormat="false" ht="15" hidden="false" customHeight="false" outlineLevel="0" collapsed="false">
      <c r="A4" s="4" t="s">
        <v>155</v>
      </c>
      <c r="B4" s="5" t="s">
        <v>156</v>
      </c>
      <c r="C4" s="5" t="s">
        <v>157</v>
      </c>
    </row>
    <row r="5" customFormat="false" ht="15" hidden="false" customHeight="false" outlineLevel="0" collapsed="false">
      <c r="A5" s="6" t="s">
        <v>158</v>
      </c>
      <c r="B5" s="7" t="s">
        <v>159</v>
      </c>
      <c r="C5" s="7" t="s">
        <v>160</v>
      </c>
    </row>
    <row r="6" customFormat="false" ht="15" hidden="false" customHeight="false" outlineLevel="0" collapsed="false">
      <c r="A6" s="4" t="s">
        <v>161</v>
      </c>
      <c r="B6" s="5" t="s">
        <v>162</v>
      </c>
      <c r="C6" s="5" t="s">
        <v>19</v>
      </c>
    </row>
    <row r="7" customFormat="false" ht="15" hidden="false" customHeight="false" outlineLevel="0" collapsed="false">
      <c r="A7" s="6" t="s">
        <v>163</v>
      </c>
      <c r="B7" s="7" t="s">
        <v>164</v>
      </c>
      <c r="C7" s="7" t="s">
        <v>165</v>
      </c>
    </row>
    <row r="8" customFormat="false" ht="15" hidden="false" customHeight="false" outlineLevel="0" collapsed="false">
      <c r="A8" s="4" t="s">
        <v>166</v>
      </c>
      <c r="B8" s="5" t="s">
        <v>167</v>
      </c>
      <c r="C8" s="5" t="s">
        <v>19</v>
      </c>
    </row>
    <row r="9" customFormat="false" ht="15" hidden="false" customHeight="false" outlineLevel="0" collapsed="false">
      <c r="A9" s="6" t="s">
        <v>168</v>
      </c>
      <c r="B9" s="7" t="s">
        <v>169</v>
      </c>
      <c r="C9" s="7" t="s">
        <v>19</v>
      </c>
    </row>
    <row r="10" customFormat="false" ht="15" hidden="false" customHeight="false" outlineLevel="0" collapsed="false">
      <c r="A10" s="4" t="s">
        <v>170</v>
      </c>
      <c r="B10" s="5" t="s">
        <v>171</v>
      </c>
      <c r="C10" s="5" t="s">
        <v>19</v>
      </c>
    </row>
    <row r="11" customFormat="false" ht="15" hidden="false" customHeight="false" outlineLevel="0" collapsed="false">
      <c r="A11" s="6" t="s">
        <v>172</v>
      </c>
      <c r="B11" s="7" t="s">
        <v>19</v>
      </c>
      <c r="C11" s="7" t="s">
        <v>173</v>
      </c>
    </row>
    <row r="12" customFormat="false" ht="15" hidden="false" customHeight="false" outlineLevel="0" collapsed="false">
      <c r="A12" s="4" t="s">
        <v>174</v>
      </c>
      <c r="B12" s="5" t="s">
        <v>175</v>
      </c>
      <c r="C12" s="5" t="s">
        <v>176</v>
      </c>
    </row>
    <row r="13" customFormat="false" ht="15" hidden="false" customHeight="false" outlineLevel="0" collapsed="false">
      <c r="A13" s="6" t="s">
        <v>177</v>
      </c>
      <c r="B13" s="7" t="s">
        <v>178</v>
      </c>
      <c r="C13" s="7" t="s">
        <v>179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2026-07-22T21:34:04Z</dcterms:created>
  <dc:creator>openpyxl</dc:creator>
  <dc:description/>
  <dc:language>en-US</dc:language>
  <cp:lastModifiedBy/>
  <dcterms:modified xsi:type="dcterms:W3CDTF">2026-07-22T21:34:04Z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